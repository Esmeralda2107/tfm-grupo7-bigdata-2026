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l-F\TFM\TFM_Data_Cleaning\Datos_Limpios\"/>
    </mc:Choice>
  </mc:AlternateContent>
  <xr:revisionPtr revIDLastSave="0" documentId="13_ncr:1_{B1C1CF16-DAFA-4A35-836E-CA619C2B48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 Alquiler" sheetId="1" r:id="rId1"/>
    <sheet name="DATOS LEVANTADOS 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UjVA0J7C5JbvCKN5bsGma3DvddQ1nSNdvUvNLR+RVLM="/>
    </ext>
  </extLst>
</workbook>
</file>

<file path=xl/calcChain.xml><?xml version="1.0" encoding="utf-8"?>
<calcChain xmlns="http://schemas.openxmlformats.org/spreadsheetml/2006/main">
  <c r="F36" i="1" l="1"/>
  <c r="E36" i="1"/>
  <c r="F34" i="1"/>
  <c r="E34" i="1"/>
  <c r="F31" i="1"/>
  <c r="E31" i="1"/>
  <c r="F29" i="1"/>
  <c r="E29" i="1"/>
  <c r="F27" i="1"/>
  <c r="E27" i="1"/>
  <c r="F26" i="1"/>
  <c r="E26" i="1"/>
  <c r="F23" i="1"/>
  <c r="E23" i="1"/>
  <c r="F21" i="1"/>
  <c r="E21" i="1"/>
  <c r="F20" i="1"/>
  <c r="E20" i="1"/>
  <c r="F17" i="1"/>
  <c r="E17" i="1"/>
  <c r="F16" i="1"/>
  <c r="E16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E81" i="2"/>
  <c r="D81" i="2" s="1"/>
  <c r="E80" i="2"/>
  <c r="D80" i="2" s="1"/>
  <c r="E79" i="2"/>
  <c r="D79" i="2"/>
  <c r="E78" i="2"/>
  <c r="D78" i="2"/>
  <c r="E77" i="2"/>
  <c r="D77" i="2"/>
  <c r="E76" i="2"/>
  <c r="D76" i="2"/>
  <c r="E75" i="2"/>
  <c r="E74" i="2"/>
  <c r="G75" i="2" s="1"/>
  <c r="E73" i="2"/>
  <c r="D73" i="2" s="1"/>
  <c r="E72" i="2"/>
  <c r="G72" i="2" s="1"/>
  <c r="E71" i="2"/>
  <c r="G71" i="2" s="1"/>
  <c r="E70" i="2"/>
  <c r="G70" i="2" s="1"/>
  <c r="E69" i="2"/>
  <c r="D69" i="2"/>
  <c r="E68" i="2"/>
  <c r="G68" i="2" s="1"/>
  <c r="E67" i="2"/>
  <c r="D67" i="2"/>
  <c r="E66" i="2"/>
  <c r="D66" i="2"/>
  <c r="E65" i="2"/>
  <c r="D65" i="2" s="1"/>
  <c r="E64" i="2"/>
  <c r="D64" i="2"/>
  <c r="E63" i="2"/>
  <c r="D63" i="2"/>
  <c r="E62" i="2"/>
  <c r="D62" i="2"/>
  <c r="E61" i="2"/>
  <c r="D61" i="2"/>
  <c r="E60" i="2"/>
  <c r="G60" i="2" s="1"/>
  <c r="E59" i="2"/>
  <c r="D59" i="2"/>
  <c r="E58" i="2"/>
  <c r="D58" i="2"/>
  <c r="G57" i="2"/>
  <c r="E57" i="2"/>
  <c r="E56" i="2"/>
  <c r="G56" i="2" s="1"/>
  <c r="E55" i="2"/>
  <c r="G55" i="2" s="1"/>
  <c r="E54" i="2"/>
  <c r="D54" i="2"/>
  <c r="E53" i="2"/>
  <c r="D53" i="2"/>
  <c r="E52" i="2"/>
  <c r="G52" i="2" s="1"/>
  <c r="E51" i="2"/>
  <c r="D51" i="2"/>
  <c r="E50" i="2"/>
  <c r="D50" i="2"/>
  <c r="E49" i="2"/>
  <c r="D49" i="2" s="1"/>
  <c r="E48" i="2"/>
  <c r="D48" i="2"/>
  <c r="E47" i="2"/>
  <c r="D47" i="2"/>
  <c r="E46" i="2"/>
  <c r="D46" i="2"/>
  <c r="E45" i="2"/>
  <c r="G45" i="2" s="1"/>
  <c r="E44" i="2"/>
  <c r="G44" i="2" s="1"/>
  <c r="E43" i="2"/>
  <c r="D43" i="2"/>
  <c r="E42" i="2"/>
  <c r="D42" i="2"/>
  <c r="E41" i="2"/>
  <c r="D41" i="2" s="1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 s="1"/>
  <c r="E32" i="2"/>
  <c r="D32" i="2"/>
  <c r="E31" i="2"/>
  <c r="D31" i="2"/>
  <c r="E30" i="2"/>
  <c r="D30" i="2"/>
  <c r="E29" i="2"/>
  <c r="D29" i="2"/>
  <c r="G28" i="2"/>
  <c r="E28" i="2"/>
  <c r="E27" i="2"/>
  <c r="D27" i="2"/>
  <c r="E26" i="2"/>
  <c r="G26" i="2" s="1"/>
  <c r="E25" i="2"/>
  <c r="D25" i="2" s="1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 s="1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 s="1"/>
  <c r="E8" i="2"/>
  <c r="D8" i="2"/>
  <c r="E7" i="2"/>
  <c r="D7" i="2"/>
  <c r="E6" i="2"/>
  <c r="D6" i="2"/>
  <c r="E5" i="2"/>
  <c r="D5" i="2"/>
  <c r="E4" i="2"/>
  <c r="D4" i="2"/>
  <c r="E3" i="2"/>
  <c r="D3" i="2"/>
  <c r="G2" i="2"/>
  <c r="E2" i="2"/>
  <c r="G74" i="2" l="1"/>
</calcChain>
</file>

<file path=xl/sharedStrings.xml><?xml version="1.0" encoding="utf-8"?>
<sst xmlns="http://schemas.openxmlformats.org/spreadsheetml/2006/main" count="393" uniqueCount="240">
  <si>
    <t>NOMBRE_ZONA</t>
  </si>
  <si>
    <t>CODIGO_CENSO_NTA</t>
  </si>
  <si>
    <t>ZIP CODES</t>
  </si>
  <si>
    <t>BARRIOS_INCLUIDOS</t>
  </si>
  <si>
    <t>PRECIO_PIES_CUADRADOS_ANUAL</t>
  </si>
  <si>
    <t>PRECIO_MES_LOCAL</t>
  </si>
  <si>
    <t>FUENTE</t>
  </si>
  <si>
    <t>LINK_FUENTE</t>
  </si>
  <si>
    <t>MN0402</t>
  </si>
  <si>
    <t>10019, 10036, 10018</t>
  </si>
  <si>
    <t>Hell's Kitchen, Theater District, Clinton, Times Square (West)</t>
  </si>
  <si>
    <t>-Loop Net/commercialcafe</t>
  </si>
  <si>
    <t>Financial District</t>
  </si>
  <si>
    <t>10004, 10005, 10006, 10007, 10038</t>
  </si>
  <si>
    <t>FiDi, Wall Street, WTC, Battery Park, Seaport</t>
  </si>
  <si>
    <t>Tribeca / Civic Center</t>
  </si>
  <si>
    <t>MN0101</t>
  </si>
  <si>
    <t>10007, 10013</t>
  </si>
  <si>
    <t>Tribeca, Civic Center, City Hall Area</t>
  </si>
  <si>
    <t>SoHo / Little Italy</t>
  </si>
  <si>
    <t>MN0201</t>
  </si>
  <si>
    <t>10012, 10013</t>
  </si>
  <si>
    <t>SoHo, Little Italy, Nolita, Hudson Square</t>
  </si>
  <si>
    <t>West Village</t>
  </si>
  <si>
    <t>MN0202</t>
  </si>
  <si>
    <t>10014</t>
  </si>
  <si>
    <t>West Village, Greenwich Village (West), Meatpacking (South)</t>
  </si>
  <si>
    <t>East Village</t>
  </si>
  <si>
    <t>MN0303</t>
  </si>
  <si>
    <t>10003, 10009</t>
  </si>
  <si>
    <t>East Village, Alphabet City, Loisaida, Tompkins Sq</t>
  </si>
  <si>
    <t>Lower East Side</t>
  </si>
  <si>
    <t>MN0302</t>
  </si>
  <si>
    <t>10002</t>
  </si>
  <si>
    <t>LES, Essex Crossing, Bowery (South)</t>
  </si>
  <si>
    <t>Chinatown</t>
  </si>
  <si>
    <t>MN0301</t>
  </si>
  <si>
    <t>10002, 10038</t>
  </si>
  <si>
    <t>Chinatown, Two Bridges, Confucius Plaza</t>
  </si>
  <si>
    <t>Chelsea / Hudson Yards</t>
  </si>
  <si>
    <t>MN0401</t>
  </si>
  <si>
    <t>10001, 10011</t>
  </si>
  <si>
    <t>Chelsea, Hudson Yards, Penn Station, Meatpacking (North), Flower Dist.</t>
  </si>
  <si>
    <t>Flatiron / Union Square</t>
  </si>
  <si>
    <t>MN0501</t>
  </si>
  <si>
    <t>10003, 10010</t>
  </si>
  <si>
    <t>Flatiron, Union Square, NoMad, Gramercy Park (West)</t>
  </si>
  <si>
    <t>Midtown Center</t>
  </si>
  <si>
    <t>MN0502</t>
  </si>
  <si>
    <t>10018, 10019, 10020, 10036</t>
  </si>
  <si>
    <t>Times Square, Rockefeller Center, Diamond District, Bryant Park</t>
  </si>
  <si>
    <t>Murray Hill / Kips Bay</t>
  </si>
  <si>
    <t>MN0601</t>
  </si>
  <si>
    <t>10016, 10017</t>
  </si>
  <si>
    <t>Murray Hill, Kips Bay, Tudor City, UN Area, Grand Central</t>
  </si>
  <si>
    <t>Upper West Side</t>
  </si>
  <si>
    <t>MN0701</t>
  </si>
  <si>
    <t>10023, 10024, 10025</t>
  </si>
  <si>
    <t>Lincoln Square, UWS, Manhattan Valley (South)</t>
  </si>
  <si>
    <t>Upper East Side</t>
  </si>
  <si>
    <t>MN0801</t>
  </si>
  <si>
    <t>10021, 10028, 10065, 10075</t>
  </si>
  <si>
    <t>Lenox Hill, Yorkville, Carnegie Hill, Museum Mile</t>
  </si>
  <si>
    <t>Morningside Heights</t>
  </si>
  <si>
    <t>MN0901</t>
  </si>
  <si>
    <t>10027</t>
  </si>
  <si>
    <t>Columbia University, Manhattanville (South)</t>
  </si>
  <si>
    <t>Central Harlem</t>
  </si>
  <si>
    <t>MN1001</t>
  </si>
  <si>
    <t>10026, 10027, 10030</t>
  </si>
  <si>
    <t>Harlem, Marcus Garvey Park, Strivers Row</t>
  </si>
  <si>
    <t>East Harlem</t>
  </si>
  <si>
    <t>MN1101</t>
  </si>
  <si>
    <t>10029, 10035</t>
  </si>
  <si>
    <t>El Barrio, Spanish Harlem</t>
  </si>
  <si>
    <t>West Harlem</t>
  </si>
  <si>
    <t>MN0902</t>
  </si>
  <si>
    <t>10031</t>
  </si>
  <si>
    <t>Hamilton Heights, CCNY, Sugar Hill</t>
  </si>
  <si>
    <t>Washington Heights</t>
  </si>
  <si>
    <t>MN1201</t>
  </si>
  <si>
    <t>10032, 10033</t>
  </si>
  <si>
    <t>Washington Heights, Hudson Heights</t>
  </si>
  <si>
    <t>Inwood</t>
  </si>
  <si>
    <t>MN1203</t>
  </si>
  <si>
    <t>10034, 10040</t>
  </si>
  <si>
    <t>Inwood, Marble Hill, The Cloisters</t>
  </si>
  <si>
    <t>ID</t>
  </si>
  <si>
    <t>BARRIO</t>
  </si>
  <si>
    <t>ZIP</t>
  </si>
  <si>
    <t>PRECIO MENSUAL</t>
  </si>
  <si>
    <t>PRECIO ANUAL</t>
  </si>
  <si>
    <t>TAMAÑO SF</t>
  </si>
  <si>
    <t>PRECIO SF ANUAL</t>
  </si>
  <si>
    <t>LINK</t>
  </si>
  <si>
    <t>Midtown West y Hell's Kitchen</t>
  </si>
  <si>
    <t>https://www.commercialcafe.com/commercial-property/us/ny/new-york/699-10th-ave/</t>
  </si>
  <si>
    <t>https://www.loopnet.com/Listing/555-W-43rd-St-New-York-NY/38186911/</t>
  </si>
  <si>
    <t>https://www.loopnet.com/Listing/114-W-47th-St-New-York-NY/38309755/</t>
  </si>
  <si>
    <t>https://www.loopnet.com/Listing/662-9th-Ave-New-York-NY/38536758/</t>
  </si>
  <si>
    <t>https://www.loopnet.com/Listing/370-W-52nd-St-New-York-NY/37512163/</t>
  </si>
  <si>
    <t>https://www.loopnet.com/Listing/802-Ninth-Ave-New-York-NY/38646478/</t>
  </si>
  <si>
    <t>https://www.loopnet.com/Listing/244-252-W-54th-St-New-York-NY/6177110/</t>
  </si>
  <si>
    <t>https://www.loopnet.com/Listing/853-Seventh-Ave-New-York-NY/31194144/</t>
  </si>
  <si>
    <t>https://www.loopnet.com/Listing/106-Duane-St-New-York-NY/33233195/</t>
  </si>
  <si>
    <t>https://www.loopnet.com/Listing/124-Chambers-St-New-York-NY/36273716/</t>
  </si>
  <si>
    <t>https://www.loopnet.com/Listing/265-Water-St-New-York-NY/36625135/</t>
  </si>
  <si>
    <t>https://www.loopnet.com/Listing/88-Fulton-St-New-York-NY/38097531/</t>
  </si>
  <si>
    <t>https://www.loopnet.com/Listing/225-Broadway-New-York-NY/3938604/</t>
  </si>
  <si>
    <t>https://www.commercialcafe.com/commercial-property/us/ny/new-york/225-broadway/</t>
  </si>
  <si>
    <t>https://www.loopnet.com/Listing/519-Broome-St-New-York-NY/29453356/</t>
  </si>
  <si>
    <t>https://www.loopnet.com/Listing/119-Mott-St-New-York-NY/36644997/</t>
  </si>
  <si>
    <t>https://www.loopnet.com/Listing/339-Broadway-New-York-NY/38392136/</t>
  </si>
  <si>
    <t>https://www.loopnet.com/Listing/30-Kenmare-St-New-York-NY/27231882/</t>
  </si>
  <si>
    <t>https://www.loopnet.com/Listing/334-336-Bowery-New-York-NY/38987219/</t>
  </si>
  <si>
    <t>https://www.loopnet.com/Listing/64-66-W-Third-St-New-York-NY/19858371/</t>
  </si>
  <si>
    <t>https://www.loopnet.com/Listing/118-Macdougal-St-New-York-NY/38433100/</t>
  </si>
  <si>
    <t>https://www.loopnet.com/Listing/172-Thompson-St-New-York-NY/38507747/</t>
  </si>
  <si>
    <t>https://www.loopnet.com/Listing/48-Carmine-St-New-York-NY/37261651/</t>
  </si>
  <si>
    <t>https://www.commercialcafe.com/commercial-property/us/ny/new-york/29-7th-ave-s/</t>
  </si>
  <si>
    <t>https://www.commercialcafe.com/commercial-property/us/ny/new-york/11-abingdon-square/</t>
  </si>
  <si>
    <t>https://www.commercialcafe.com/commercial-property/us/ny/new-york/22-8th-ave-1/</t>
  </si>
  <si>
    <t>https://www.loopnet.com/Listing/70-University-Pl-New-York-NY/38256454/</t>
  </si>
  <si>
    <t>https://www.loopnet.com/Listing/214-216-E-9th-St-New-York-NY/36213293/</t>
  </si>
  <si>
    <t>https://www.loopnet.com/Listing/103-First-Ave-New-York-NY/39087766/</t>
  </si>
  <si>
    <t>https://www.loopnet.com/Listing/60-62-2nd-Ave-New-York-NY/37725594/</t>
  </si>
  <si>
    <t>https://www.commercialcafe.com/commercial-property/us/ny/new-york/58-e-11th-st-1/</t>
  </si>
  <si>
    <t>https://www.loopnet.com/Listing/163-Orchard-St-New-York-NY/38830426/</t>
  </si>
  <si>
    <t>https://www.loopnet.com/Listing/133-Ludlow-St-New-York-NY/38571770/</t>
  </si>
  <si>
    <t>https://www.commercialcafe.com/commercial-property/us/ny/new-york/119-hester-st/</t>
  </si>
  <si>
    <t>https://www.commercialcafe.com/commercial-property/us/ny/new-york/46-hester-st/</t>
  </si>
  <si>
    <t>https://www.commercialcafe.com/commercial-property/us/ny/greenpoint/215-water-street/</t>
  </si>
  <si>
    <t>https://www.commercialcafe.com/commercial-property/us/ny/new-york/111-john-street-1/</t>
  </si>
  <si>
    <t>https://www.commercialcafe.com/commercial-property/us/ny/new-york/295-7th-ave/</t>
  </si>
  <si>
    <t>https://www.commercialcafe.com/commercial-property/us/ny/new-york/350-9-ave/</t>
  </si>
  <si>
    <t>https://www.commercialcafe.com/commercial-property/us/ny/new-york/263-west-34th-street/</t>
  </si>
  <si>
    <t>https://www.commercialcafe.com/commercial-property/us/ny/new-york/547-west-27th-street-2/</t>
  </si>
  <si>
    <t>https://www.loopnet.com/Listing/115-E-23rd-St-New-York-NY/22749269/</t>
  </si>
  <si>
    <t>https://www.commercialcafe.com/commercial-property/us/ny/new-york/53-west-23rd-street/</t>
  </si>
  <si>
    <t>https://www.commercialcafe.com/commercial-property/us/ny/new-york/1151-broadway-street/</t>
  </si>
  <si>
    <t>https://www.commercialcafe.com/commercial-property/us/ny/new-york/2567-broadway/</t>
  </si>
  <si>
    <t>https://www.commercialcafe.com/commercial-property/us/ny/new-york/2234-broadway/</t>
  </si>
  <si>
    <t>https://www.commercialcafe.com/commercial-property/us/ny/new-york/1523-york-avenue/</t>
  </si>
  <si>
    <t>https://www.commercialcafe.com/commercial-property/us/ny/new-york/334-e-73rd-st/</t>
  </si>
  <si>
    <t>https://www.commercialcafe.com/commercial-property/us/ny/new-york/1260-third-avenue/</t>
  </si>
  <si>
    <t>https://www.commercialcafe.com/commercial-property/us/ny/new-york/2241-43-frederick-douglass-blvd/</t>
  </si>
  <si>
    <t>https://www.commercialcafe.com/commercial-property/us/ny/new-york/lenox-gardens-apartment-corporation/</t>
  </si>
  <si>
    <t>https://www.commercialcafe.com/commercial-property/us/ny/new-york/2229-frederick-douglass-blvd/</t>
  </si>
  <si>
    <t>https://www.loopnet.com/Listing/358-112th-St-New-York-NY/28627419/</t>
  </si>
  <si>
    <t>https://www.loopnet.com/Listing/2108-Second-Ave-New-York-NY/34696983/</t>
  </si>
  <si>
    <t>https://www.loopnet.com/Listing/100-E-116th-St-New-York-NY/38601308/</t>
  </si>
  <si>
    <t>https://www.loopnet.com/Listing/1504-1506-Amsterdam-Ave-New-York-NY/38187503/</t>
  </si>
  <si>
    <t>https://www.loopnet.com/Listing/3643-3651-Broadway-New-York-NY/38890168/</t>
  </si>
  <si>
    <t>https://www.commercialcafe.com/commercial-property/us/ny/new-york/1504-amsterdam-ave/</t>
  </si>
  <si>
    <t>https://www.loopnet.com/Listing/3910-3918-Broadway-New-York-NY/9282046/</t>
  </si>
  <si>
    <t>https://www.commercialcafe.com/commercial-property/us/ny/new-york/3821-3835-broadway-600-west-160th-street/</t>
  </si>
  <si>
    <t>https://www.commercialcafe.com/commercial-property/us/ny/new-york/1984-amsterdam-avenue/</t>
  </si>
  <si>
    <t>https://www.commercialcafe.com/commercial-property/us/ny/new-york/3787-3799-broadway-604-610-west-158th-street-5-11-edward-m-morgan-place/</t>
  </si>
  <si>
    <t>https://www.loopnet.com/Listing/122-Dyckman-St-New-York-NY/34663218/</t>
  </si>
  <si>
    <t>https://www.commercialcafe.com/commercial-property/us/ny/new-york/129-nagle-avenue-1/</t>
  </si>
  <si>
    <t>https://www.loopnet.com/Listing/482-484-Third-Ave-New-York-NY/37786027/</t>
  </si>
  <si>
    <t>https://www.loopnet.com/Listing/62-Madison-Ave-New-York-NY/36999238/</t>
  </si>
  <si>
    <t>https://www.loopnet.com/Listing/242-246-Madison-Ave-New-York-NY/21249381/</t>
  </si>
  <si>
    <t>Financial District-Battery Park City</t>
  </si>
  <si>
    <t>Tribeca-Civic Center</t>
  </si>
  <si>
    <t>MN0191</t>
  </si>
  <si>
    <t>The Battery-Governors Island-Ellis Island-Liberty Island</t>
  </si>
  <si>
    <t>SoHo-Little Italy-Hudson Square</t>
  </si>
  <si>
    <t>Greenwich Village</t>
  </si>
  <si>
    <t>MN0203</t>
  </si>
  <si>
    <t>Chinatown-Two Bridges</t>
  </si>
  <si>
    <t>Chelsea-Hudson Yards</t>
  </si>
  <si>
    <t>Hell's Kitchen</t>
  </si>
  <si>
    <t>Midtown South-Flatiron-Union Square</t>
  </si>
  <si>
    <t>Midtown-Times Square</t>
  </si>
  <si>
    <t>Stuyvesant Town-Peter Cooper Village</t>
  </si>
  <si>
    <t>MN0602</t>
  </si>
  <si>
    <t>Gramercy</t>
  </si>
  <si>
    <t>MN0603</t>
  </si>
  <si>
    <t>Murray Hill-Kips Bay</t>
  </si>
  <si>
    <t>MN0604</t>
  </si>
  <si>
    <t>East Midtown-Turtle Bay</t>
  </si>
  <si>
    <t>MN0661</t>
  </si>
  <si>
    <t>United Nations</t>
  </si>
  <si>
    <t>Upper West Side-Lincoln Square</t>
  </si>
  <si>
    <t>MN0702</t>
  </si>
  <si>
    <t>Upper West Side (Central)</t>
  </si>
  <si>
    <t>MN0703</t>
  </si>
  <si>
    <t>Upper West Side-Manhattan Valley</t>
  </si>
  <si>
    <t>Upper East Side-Lenox Hill-Roosevelt Island</t>
  </si>
  <si>
    <t>MN0802</t>
  </si>
  <si>
    <t>Upper East Side-Carnegie Hill</t>
  </si>
  <si>
    <t>MN0803</t>
  </si>
  <si>
    <t>Upper East Side-Yorkville</t>
  </si>
  <si>
    <t>Manhattanville-West Harlem</t>
  </si>
  <si>
    <t>MN0903</t>
  </si>
  <si>
    <t>Hamilton Heights-Sugar Hill</t>
  </si>
  <si>
    <t>Harlem (South)</t>
  </si>
  <si>
    <t>MN1002</t>
  </si>
  <si>
    <t>Harlem (North)</t>
  </si>
  <si>
    <t>East Harlem (South)</t>
  </si>
  <si>
    <t>MN1102</t>
  </si>
  <si>
    <t>East Harlem (North)</t>
  </si>
  <si>
    <t>MN1191</t>
  </si>
  <si>
    <t>Randall's Island</t>
  </si>
  <si>
    <t>Washington Heights (South)</t>
  </si>
  <si>
    <t>MN1202</t>
  </si>
  <si>
    <t>Washington Heights (North)</t>
  </si>
  <si>
    <t>MN1291</t>
  </si>
  <si>
    <t>Highbridge Park</t>
  </si>
  <si>
    <t>MN1292</t>
  </si>
  <si>
    <t>Inwood Hill Park</t>
  </si>
  <si>
    <t>MN6491</t>
  </si>
  <si>
    <t>Central Park</t>
  </si>
  <si>
    <t>MN0102</t>
  </si>
  <si>
    <r>
      <rPr>
        <sz val="11"/>
        <color rgb="FF000000"/>
        <rFont val="Times New Roman"/>
      </rPr>
      <t xml:space="preserve">  </t>
    </r>
    <r>
      <rPr>
        <u/>
        <sz val="11"/>
        <color rgb="FF1155CC"/>
        <rFont val="Times New Roman"/>
      </rPr>
      <t>https://www.loopnet.com/</t>
    </r>
    <r>
      <rPr>
        <sz val="11"/>
        <color rgb="FF1F1F1F"/>
        <rFont val="Times New Roman"/>
      </rPr>
      <t xml:space="preserve"> - https://www.commercialcafe.com/</t>
    </r>
  </si>
  <si>
    <t>10004 ,10280</t>
  </si>
  <si>
    <t>South Ferry area, Battery Park City.</t>
  </si>
  <si>
    <r>
      <rPr>
        <u/>
        <sz val="11"/>
        <color rgb="FF000000"/>
        <rFont val="Times New Roman"/>
      </rPr>
      <t xml:space="preserve">  </t>
    </r>
    <r>
      <rPr>
        <u/>
        <sz val="11"/>
        <color rgb="FF1155CC"/>
        <rFont val="Times New Roman"/>
      </rPr>
      <t>https://www.loopnet.com/</t>
    </r>
    <r>
      <rPr>
        <u/>
        <sz val="11"/>
        <color rgb="FF1F1F1F"/>
        <rFont val="Times New Roman"/>
      </rPr>
      <t xml:space="preserve"> - https://www.commercialcafe.com/</t>
    </r>
  </si>
  <si>
    <t>10011, 10014</t>
  </si>
  <si>
    <t>South Village, West Village</t>
  </si>
  <si>
    <t>10009, 10010</t>
  </si>
  <si>
    <t>Stuyvesant Town,Peter Cooper Village</t>
  </si>
  <si>
    <t>Irving Place, East Gramercy</t>
  </si>
  <si>
    <t>10017, 10022</t>
  </si>
  <si>
    <t>Turtle Bay,East Midtown</t>
  </si>
  <si>
    <t>10017, 10022,10026</t>
  </si>
  <si>
    <t>10023, 10024, 10026</t>
  </si>
  <si>
    <t>Central Upper West Side, Lincoln Square,</t>
  </si>
  <si>
    <t xml:space="preserve">
Upper West Side, Manhattan Valley</t>
  </si>
  <si>
    <t>Upper East Side, Carnegie Hill</t>
  </si>
  <si>
    <t>Upper East Side, Yorkville</t>
  </si>
  <si>
    <t>10031, 10032</t>
  </si>
  <si>
    <t>Hamilton Heights, Sugar Hill</t>
  </si>
  <si>
    <t>Central/North Harlem</t>
  </si>
  <si>
    <t>Upper East Harlem / North East Harlem</t>
  </si>
  <si>
    <t>n/p</t>
  </si>
  <si>
    <t>Hudson Heights, Fort George area</t>
  </si>
  <si>
    <t>Highbridge / Concourse – Bronx</t>
  </si>
  <si>
    <t>Upper West Side,Midtown Manhattan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</si>
</sst>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22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2"/>
      <color rgb="FF2F446A"/>
      <name val="Muli"/>
    </font>
    <font>
      <u/>
      <sz val="11"/>
      <color rgb="FF1155CC"/>
      <name val="Arial"/>
    </font>
    <font>
      <sz val="15"/>
      <color theme="1"/>
      <name val="Arial"/>
    </font>
    <font>
      <sz val="12"/>
      <color theme="1"/>
      <name val="Arial"/>
    </font>
    <font>
      <u/>
      <sz val="11"/>
      <color rgb="FF1155CC"/>
      <name val="Arial"/>
    </font>
    <font>
      <u/>
      <sz val="11"/>
      <color rgb="FF0000FF"/>
      <name val="Arial"/>
    </font>
    <font>
      <u/>
      <sz val="11"/>
      <color rgb="FF0000FF"/>
      <name val="Aptos Narrow"/>
    </font>
    <font>
      <u/>
      <sz val="11"/>
      <color rgb="FF467886"/>
      <name val="Arial"/>
    </font>
    <font>
      <sz val="11"/>
      <color theme="1"/>
      <name val="Times New Roman"/>
      <family val="1"/>
    </font>
    <font>
      <b/>
      <sz val="11"/>
      <color theme="0"/>
      <name val="Times New Roman"/>
    </font>
    <font>
      <b/>
      <sz val="11"/>
      <color rgb="FFFFFFFF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sz val="11"/>
      <color rgb="FF1F1F1F"/>
      <name val="Times New Roman"/>
    </font>
    <font>
      <u/>
      <sz val="11"/>
      <color rgb="FF1F1F1F"/>
      <name val="Times New Roman"/>
    </font>
    <font>
      <sz val="11"/>
      <color rgb="FF000000"/>
      <name val="Times New Roman"/>
    </font>
    <font>
      <u/>
      <sz val="11"/>
      <color rgb="FF1155CC"/>
      <name val="Times New Roman"/>
    </font>
    <font>
      <b/>
      <sz val="11"/>
      <color rgb="FF1F1F1F"/>
      <name val="Times New Roman"/>
    </font>
    <font>
      <u/>
      <sz val="11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0A3041"/>
        <bgColor rgb="FF0A3041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4" fillId="0" borderId="0" xfId="0" applyFont="1"/>
    <xf numFmtId="3" fontId="5" fillId="4" borderId="0" xfId="0" applyNumberFormat="1" applyFont="1" applyFill="1" applyAlignment="1">
      <alignment horizontal="right"/>
    </xf>
    <xf numFmtId="3" fontId="2" fillId="0" borderId="0" xfId="0" applyNumberFormat="1" applyFont="1" applyAlignment="1">
      <alignment horizontal="right"/>
    </xf>
    <xf numFmtId="3" fontId="6" fillId="4" borderId="0" xfId="0" applyNumberFormat="1" applyFont="1" applyFill="1" applyAlignment="1">
      <alignment horizontal="right"/>
    </xf>
    <xf numFmtId="164" fontId="7" fillId="0" borderId="0" xfId="0" applyNumberFormat="1" applyFont="1"/>
    <xf numFmtId="0" fontId="8" fillId="0" borderId="0" xfId="0" applyFont="1"/>
    <xf numFmtId="164" fontId="1" fillId="0" borderId="0" xfId="0" applyNumberFormat="1" applyFont="1"/>
    <xf numFmtId="0" fontId="9" fillId="0" borderId="0" xfId="0" applyFont="1"/>
    <xf numFmtId="0" fontId="10" fillId="0" borderId="0" xfId="0" applyFont="1"/>
    <xf numFmtId="3" fontId="2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 vertical="center" wrapText="1" readingOrder="1"/>
    </xf>
    <xf numFmtId="0" fontId="13" fillId="2" borderId="1" xfId="0" applyFont="1" applyFill="1" applyBorder="1" applyAlignment="1">
      <alignment horizontal="center" vertical="center" wrapText="1" readingOrder="1"/>
    </xf>
    <xf numFmtId="0" fontId="1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 readingOrder="1"/>
    </xf>
    <xf numFmtId="0" fontId="16" fillId="0" borderId="2" xfId="0" applyFont="1" applyBorder="1" applyAlignment="1">
      <alignment horizontal="center" vertical="center" wrapText="1" readingOrder="1"/>
    </xf>
    <xf numFmtId="164" fontId="16" fillId="0" borderId="2" xfId="0" applyNumberFormat="1" applyFont="1" applyBorder="1" applyAlignment="1">
      <alignment horizontal="center" vertical="center" wrapText="1" readingOrder="1"/>
    </xf>
    <xf numFmtId="0" fontId="14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 readingOrder="1"/>
    </xf>
    <xf numFmtId="49" fontId="16" fillId="0" borderId="2" xfId="0" applyNumberFormat="1" applyFont="1" applyBorder="1" applyAlignment="1">
      <alignment horizontal="center" vertical="center" wrapText="1"/>
    </xf>
    <xf numFmtId="3" fontId="1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Dataset Alquiler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i%20unidad\PC%20SILFEL\MAESTRIA%20NEXT%20EDUCATION\TFM\ASIGNATURAS%205\ENDRY\Dataset%20Alquiler.xlsx" TargetMode="External"/><Relationship Id="rId1" Type="http://schemas.openxmlformats.org/officeDocument/2006/relationships/externalLinkPath" Target="file:///G:\Mi%20unidad\PC%20SILFEL\MAESTRIA%20NEXT%20EDUCATION\TFM\ASIGNATURAS%205\ENDRY\Dataset%20Alquil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et Alquiler"/>
      <sheetName val="DATOS LEVANTADOS "/>
    </sheetNames>
    <sheetDataSet>
      <sheetData sheetId="0"/>
      <sheetData sheetId="1">
        <row r="2">
          <cell r="D2">
            <v>6500</v>
          </cell>
          <cell r="G2">
            <v>8.0205655526992281</v>
          </cell>
        </row>
        <row r="3">
          <cell r="D3">
            <v>13000</v>
          </cell>
          <cell r="G3">
            <v>62.4</v>
          </cell>
        </row>
        <row r="4">
          <cell r="D4">
            <v>38471.008333333331</v>
          </cell>
          <cell r="G4">
            <v>67.989999999999995</v>
          </cell>
        </row>
        <row r="5">
          <cell r="D5">
            <v>26000</v>
          </cell>
          <cell r="G5">
            <v>208</v>
          </cell>
        </row>
        <row r="6">
          <cell r="D6">
            <v>15000</v>
          </cell>
          <cell r="G6">
            <v>180</v>
          </cell>
        </row>
        <row r="7">
          <cell r="D7">
            <v>36000</v>
          </cell>
          <cell r="G7">
            <v>86.4</v>
          </cell>
        </row>
        <row r="8">
          <cell r="D8">
            <v>8662.5</v>
          </cell>
          <cell r="G8">
            <v>63</v>
          </cell>
        </row>
        <row r="9">
          <cell r="D9">
            <v>24999.75</v>
          </cell>
          <cell r="G9">
            <v>333.33</v>
          </cell>
        </row>
        <row r="10">
          <cell r="D10">
            <v>14501.666666666666</v>
          </cell>
          <cell r="G10">
            <v>31.64</v>
          </cell>
        </row>
        <row r="11">
          <cell r="D11">
            <v>30468.75</v>
          </cell>
          <cell r="G11">
            <v>195</v>
          </cell>
        </row>
        <row r="12">
          <cell r="D12">
            <v>8895.8333333333339</v>
          </cell>
          <cell r="G12">
            <v>61</v>
          </cell>
        </row>
        <row r="13">
          <cell r="D13">
            <v>8000</v>
          </cell>
          <cell r="G13">
            <v>80</v>
          </cell>
        </row>
        <row r="14">
          <cell r="D14">
            <v>85962.5</v>
          </cell>
          <cell r="G14">
            <v>195</v>
          </cell>
        </row>
        <row r="15">
          <cell r="D15">
            <v>1383</v>
          </cell>
          <cell r="G15">
            <v>36</v>
          </cell>
        </row>
        <row r="16">
          <cell r="D16">
            <v>13499.75</v>
          </cell>
          <cell r="G16">
            <v>147.27000000000001</v>
          </cell>
        </row>
        <row r="17">
          <cell r="D17">
            <v>28000</v>
          </cell>
          <cell r="G17">
            <v>134.4</v>
          </cell>
        </row>
        <row r="18">
          <cell r="D18">
            <v>35000.945</v>
          </cell>
          <cell r="G18">
            <v>100.94</v>
          </cell>
        </row>
        <row r="19">
          <cell r="D19">
            <v>29605</v>
          </cell>
          <cell r="G19">
            <v>236.84</v>
          </cell>
        </row>
        <row r="20">
          <cell r="D20">
            <v>33000</v>
          </cell>
          <cell r="G20">
            <v>180</v>
          </cell>
        </row>
        <row r="21">
          <cell r="D21">
            <v>8352.5</v>
          </cell>
          <cell r="G21">
            <v>195</v>
          </cell>
        </row>
        <row r="22">
          <cell r="D22">
            <v>22134.755000000001</v>
          </cell>
          <cell r="G22">
            <v>163.86</v>
          </cell>
        </row>
        <row r="23">
          <cell r="D23">
            <v>36875</v>
          </cell>
          <cell r="G23">
            <v>177</v>
          </cell>
        </row>
        <row r="24">
          <cell r="D24">
            <v>15000</v>
          </cell>
          <cell r="G24">
            <v>150</v>
          </cell>
        </row>
        <row r="25">
          <cell r="D25">
            <v>24033.333333333332</v>
          </cell>
          <cell r="G25">
            <v>206</v>
          </cell>
        </row>
        <row r="26">
          <cell r="D26">
            <v>18000</v>
          </cell>
          <cell r="G26">
            <v>140.71661237785017</v>
          </cell>
        </row>
        <row r="27">
          <cell r="D27">
            <v>83102.5</v>
          </cell>
          <cell r="G27">
            <v>390</v>
          </cell>
        </row>
        <row r="28">
          <cell r="D28">
            <v>15000</v>
          </cell>
          <cell r="G28">
            <v>217.33333333333334</v>
          </cell>
        </row>
        <row r="29">
          <cell r="D29">
            <v>42000</v>
          </cell>
          <cell r="G29">
            <v>280</v>
          </cell>
        </row>
        <row r="30">
          <cell r="D30">
            <v>14998.833333333334</v>
          </cell>
          <cell r="G30">
            <v>116.12</v>
          </cell>
        </row>
        <row r="31">
          <cell r="D31">
            <v>14500</v>
          </cell>
          <cell r="G31">
            <v>87</v>
          </cell>
        </row>
        <row r="32">
          <cell r="D32">
            <v>19950</v>
          </cell>
          <cell r="G32">
            <v>79.8</v>
          </cell>
        </row>
        <row r="33">
          <cell r="D33">
            <v>93350</v>
          </cell>
          <cell r="G33">
            <v>75</v>
          </cell>
        </row>
        <row r="34">
          <cell r="D34">
            <v>6500</v>
          </cell>
          <cell r="G34">
            <v>156</v>
          </cell>
        </row>
        <row r="35">
          <cell r="D35">
            <v>24500</v>
          </cell>
          <cell r="G35">
            <v>98</v>
          </cell>
        </row>
        <row r="36">
          <cell r="D36">
            <v>5159.375</v>
          </cell>
          <cell r="G36">
            <v>97.5</v>
          </cell>
        </row>
        <row r="37">
          <cell r="D37">
            <v>5683.333333333333</v>
          </cell>
          <cell r="G37">
            <v>110</v>
          </cell>
        </row>
        <row r="38">
          <cell r="D38">
            <v>6500</v>
          </cell>
          <cell r="G38">
            <v>78</v>
          </cell>
        </row>
        <row r="39">
          <cell r="D39">
            <v>8000</v>
          </cell>
          <cell r="G39">
            <v>80</v>
          </cell>
        </row>
        <row r="40">
          <cell r="D40">
            <v>8895.8333333333339</v>
          </cell>
          <cell r="G40">
            <v>61</v>
          </cell>
        </row>
        <row r="41">
          <cell r="D41">
            <v>15000</v>
          </cell>
          <cell r="G41">
            <v>30</v>
          </cell>
        </row>
        <row r="42">
          <cell r="D42">
            <v>19583.333333333332</v>
          </cell>
          <cell r="G42">
            <v>100</v>
          </cell>
        </row>
        <row r="43">
          <cell r="D43">
            <v>8550</v>
          </cell>
          <cell r="G43">
            <v>38</v>
          </cell>
        </row>
        <row r="44">
          <cell r="D44">
            <v>5900</v>
          </cell>
          <cell r="G44">
            <v>39.333333333333336</v>
          </cell>
        </row>
        <row r="45">
          <cell r="D45">
            <v>7500</v>
          </cell>
          <cell r="G45">
            <v>105.88235294117646</v>
          </cell>
        </row>
        <row r="46">
          <cell r="D46">
            <v>12456.25</v>
          </cell>
          <cell r="G46">
            <v>75</v>
          </cell>
        </row>
        <row r="47">
          <cell r="D47">
            <v>30625</v>
          </cell>
          <cell r="G47">
            <v>49</v>
          </cell>
        </row>
        <row r="48">
          <cell r="D48">
            <v>4577.416666666667</v>
          </cell>
          <cell r="G48">
            <v>49</v>
          </cell>
        </row>
        <row r="49">
          <cell r="D49">
            <v>23876.666666666668</v>
          </cell>
          <cell r="G49">
            <v>130</v>
          </cell>
        </row>
        <row r="50">
          <cell r="D50">
            <v>29368.5</v>
          </cell>
          <cell r="G50">
            <v>63</v>
          </cell>
        </row>
        <row r="51">
          <cell r="D51">
            <v>3083.3333333333335</v>
          </cell>
          <cell r="G51">
            <v>12.5</v>
          </cell>
        </row>
        <row r="52">
          <cell r="D52">
            <v>26620</v>
          </cell>
          <cell r="G52">
            <v>165</v>
          </cell>
        </row>
        <row r="53">
          <cell r="D53">
            <v>21740</v>
          </cell>
          <cell r="G53">
            <v>80</v>
          </cell>
        </row>
        <row r="54">
          <cell r="D54">
            <v>7395</v>
          </cell>
          <cell r="G54">
            <v>85</v>
          </cell>
        </row>
        <row r="55">
          <cell r="D55">
            <v>7250</v>
          </cell>
          <cell r="G55">
            <v>140.32258064516128</v>
          </cell>
        </row>
        <row r="56">
          <cell r="D56">
            <v>25000</v>
          </cell>
          <cell r="G56">
            <v>29.732408325074331</v>
          </cell>
        </row>
        <row r="57">
          <cell r="D57">
            <v>21500</v>
          </cell>
          <cell r="G57">
            <v>382.22222222222223</v>
          </cell>
        </row>
        <row r="58">
          <cell r="D58">
            <v>17152.5</v>
          </cell>
          <cell r="G58">
            <v>90</v>
          </cell>
        </row>
        <row r="59">
          <cell r="D59">
            <v>17116.666666666668</v>
          </cell>
          <cell r="G59">
            <v>79</v>
          </cell>
        </row>
        <row r="60">
          <cell r="D60">
            <v>3550</v>
          </cell>
          <cell r="G60">
            <v>60.084626234132578</v>
          </cell>
        </row>
        <row r="61">
          <cell r="D61">
            <v>5000</v>
          </cell>
          <cell r="G61">
            <v>50</v>
          </cell>
        </row>
        <row r="62">
          <cell r="D62">
            <v>13875</v>
          </cell>
          <cell r="G62">
            <v>90</v>
          </cell>
        </row>
        <row r="63">
          <cell r="D63">
            <v>6975</v>
          </cell>
          <cell r="G63">
            <v>54</v>
          </cell>
        </row>
        <row r="64">
          <cell r="D64">
            <v>26950</v>
          </cell>
          <cell r="G64">
            <v>588</v>
          </cell>
        </row>
        <row r="65">
          <cell r="D65">
            <v>12000</v>
          </cell>
          <cell r="G65">
            <v>80</v>
          </cell>
        </row>
        <row r="66">
          <cell r="D66">
            <v>3545</v>
          </cell>
          <cell r="G66">
            <v>60</v>
          </cell>
        </row>
        <row r="67">
          <cell r="D67">
            <v>6900</v>
          </cell>
          <cell r="G67">
            <v>46</v>
          </cell>
        </row>
        <row r="68">
          <cell r="D68">
            <v>3550</v>
          </cell>
          <cell r="G68">
            <v>60.084626234132578</v>
          </cell>
        </row>
        <row r="69">
          <cell r="D69">
            <v>47283.166666666664</v>
          </cell>
          <cell r="G69">
            <v>139</v>
          </cell>
        </row>
        <row r="70">
          <cell r="D70">
            <v>13750</v>
          </cell>
          <cell r="G70">
            <v>143.47826086956522</v>
          </cell>
        </row>
        <row r="71">
          <cell r="D71">
            <v>11500</v>
          </cell>
          <cell r="G71">
            <v>62.022471910112358</v>
          </cell>
        </row>
        <row r="72">
          <cell r="D72">
            <v>18000</v>
          </cell>
          <cell r="G72">
            <v>152.00562983814214</v>
          </cell>
        </row>
        <row r="73">
          <cell r="D73">
            <v>4946.166666666667</v>
          </cell>
          <cell r="G73">
            <v>59</v>
          </cell>
        </row>
        <row r="74">
          <cell r="D74">
            <v>3700</v>
          </cell>
          <cell r="G74">
            <v>44.4</v>
          </cell>
        </row>
        <row r="75">
          <cell r="D75">
            <v>3700</v>
          </cell>
          <cell r="G75">
            <v>44.4</v>
          </cell>
        </row>
        <row r="76">
          <cell r="D76">
            <v>15000</v>
          </cell>
          <cell r="G76">
            <v>180</v>
          </cell>
        </row>
        <row r="77">
          <cell r="D77">
            <v>35833.333333333336</v>
          </cell>
          <cell r="G77">
            <v>86</v>
          </cell>
        </row>
        <row r="78">
          <cell r="D78">
            <v>24975</v>
          </cell>
          <cell r="G78">
            <v>333</v>
          </cell>
        </row>
        <row r="79">
          <cell r="D79">
            <v>12833.333333333334</v>
          </cell>
          <cell r="G79">
            <v>280</v>
          </cell>
        </row>
        <row r="80">
          <cell r="D80">
            <v>16000</v>
          </cell>
          <cell r="G80">
            <v>160</v>
          </cell>
        </row>
        <row r="81">
          <cell r="D81">
            <v>27083.333333333332</v>
          </cell>
          <cell r="G81">
            <v>130</v>
          </cell>
        </row>
        <row r="82">
          <cell r="D82">
            <v>23708.333333333332</v>
          </cell>
          <cell r="G82">
            <v>100</v>
          </cell>
        </row>
        <row r="83">
          <cell r="D83">
            <v>7757.5</v>
          </cell>
          <cell r="G83">
            <v>43.5</v>
          </cell>
        </row>
        <row r="84">
          <cell r="D84">
            <v>9249.5833333333339</v>
          </cell>
          <cell r="G84">
            <v>39.5</v>
          </cell>
        </row>
        <row r="85">
          <cell r="D85">
            <v>15000</v>
          </cell>
          <cell r="G85">
            <v>50</v>
          </cell>
        </row>
        <row r="86">
          <cell r="D86">
            <v>22000</v>
          </cell>
          <cell r="G86">
            <v>127.08333333333333</v>
          </cell>
        </row>
        <row r="87">
          <cell r="D87">
            <v>16000</v>
          </cell>
          <cell r="G87">
            <v>120</v>
          </cell>
        </row>
        <row r="88">
          <cell r="D88">
            <v>23876.666666666668</v>
          </cell>
          <cell r="G88">
            <v>130</v>
          </cell>
        </row>
        <row r="89">
          <cell r="D89">
            <v>24750</v>
          </cell>
          <cell r="G89">
            <v>135</v>
          </cell>
        </row>
        <row r="90">
          <cell r="D90">
            <v>20000</v>
          </cell>
          <cell r="G90">
            <v>150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2F81A6-B9DE-4369-B200-451C2E110B68}" name="Table_13" displayName="Table_13" ref="A1:H39">
  <tableColumns count="8">
    <tableColumn id="1" xr3:uid="{788294F0-897C-4FFA-8C2F-EE8F8BF198AE}" name="NOMBRE_ZONA"/>
    <tableColumn id="2" xr3:uid="{57A9CB18-F931-44A7-A4D2-C72BAD497711}" name="CODIGO_CENSO_NTA"/>
    <tableColumn id="3" xr3:uid="{5C511022-11F7-453A-9089-37EAFC58CBD8}" name="ZIP CODES"/>
    <tableColumn id="4" xr3:uid="{B7A82F2A-D031-430B-ACA9-7347DBD87B21}" name="BARRIOS_INCLUIDOS"/>
    <tableColumn id="5" xr3:uid="{9FF6FF6D-2D75-4AC2-8563-9DBD267B2F9D}" name="PRECIO_PIES_CUADRADOS_ANUAL"/>
    <tableColumn id="6" xr3:uid="{2AF09CAD-985A-43C4-8247-2ACE575F1A62}" name="PRECIO_MES_LOCAL"/>
    <tableColumn id="7" xr3:uid="{26CF7ABC-FDDC-40F2-828F-9C87B9F6F3F1}" name="FUENTE"/>
    <tableColumn id="8" xr3:uid="{FAD71517-1185-44C8-ADF2-DDF61ABE40FF}" name="LINK_FUENTE"/>
  </tableColumns>
  <tableStyleInfo name="Dataset Alquil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oopnet.com/" TargetMode="External"/><Relationship Id="rId18" Type="http://schemas.openxmlformats.org/officeDocument/2006/relationships/hyperlink" Target="https://www.loopnet.com/" TargetMode="External"/><Relationship Id="rId26" Type="http://schemas.openxmlformats.org/officeDocument/2006/relationships/hyperlink" Target="https://www.loopnet.com/" TargetMode="External"/><Relationship Id="rId39" Type="http://schemas.openxmlformats.org/officeDocument/2006/relationships/table" Target="../tables/table1.xml"/><Relationship Id="rId21" Type="http://schemas.openxmlformats.org/officeDocument/2006/relationships/hyperlink" Target="https://www.loopnet.com/" TargetMode="External"/><Relationship Id="rId34" Type="http://schemas.openxmlformats.org/officeDocument/2006/relationships/hyperlink" Target="https://www.loopnet.com/" TargetMode="External"/><Relationship Id="rId7" Type="http://schemas.openxmlformats.org/officeDocument/2006/relationships/hyperlink" Target="https://www.loopnet.com/" TargetMode="External"/><Relationship Id="rId12" Type="http://schemas.openxmlformats.org/officeDocument/2006/relationships/hyperlink" Target="https://www.loopnet.com/" TargetMode="External"/><Relationship Id="rId17" Type="http://schemas.openxmlformats.org/officeDocument/2006/relationships/hyperlink" Target="https://www.loopnet.com/" TargetMode="External"/><Relationship Id="rId25" Type="http://schemas.openxmlformats.org/officeDocument/2006/relationships/hyperlink" Target="https://www.loopnet.com/" TargetMode="External"/><Relationship Id="rId33" Type="http://schemas.openxmlformats.org/officeDocument/2006/relationships/hyperlink" Target="https://www.loopnet.com/" TargetMode="External"/><Relationship Id="rId38" Type="http://schemas.openxmlformats.org/officeDocument/2006/relationships/hyperlink" Target="https://www.loopnet.com/" TargetMode="External"/><Relationship Id="rId2" Type="http://schemas.openxmlformats.org/officeDocument/2006/relationships/hyperlink" Target="https://www.loopnet.com/" TargetMode="External"/><Relationship Id="rId16" Type="http://schemas.openxmlformats.org/officeDocument/2006/relationships/hyperlink" Target="https://www.loopnet.com/" TargetMode="External"/><Relationship Id="rId20" Type="http://schemas.openxmlformats.org/officeDocument/2006/relationships/hyperlink" Target="https://www.loopnet.com/" TargetMode="External"/><Relationship Id="rId29" Type="http://schemas.openxmlformats.org/officeDocument/2006/relationships/hyperlink" Target="https://www.loopnet.com/" TargetMode="External"/><Relationship Id="rId1" Type="http://schemas.openxmlformats.org/officeDocument/2006/relationships/hyperlink" Target="https://www.loopnet.com/" TargetMode="External"/><Relationship Id="rId6" Type="http://schemas.openxmlformats.org/officeDocument/2006/relationships/hyperlink" Target="https://www.loopnet.com/" TargetMode="External"/><Relationship Id="rId11" Type="http://schemas.openxmlformats.org/officeDocument/2006/relationships/hyperlink" Target="https://www.loopnet.com/" TargetMode="External"/><Relationship Id="rId24" Type="http://schemas.openxmlformats.org/officeDocument/2006/relationships/hyperlink" Target="https://www.loopnet.com/" TargetMode="External"/><Relationship Id="rId32" Type="http://schemas.openxmlformats.org/officeDocument/2006/relationships/hyperlink" Target="https://www.loopnet.com/" TargetMode="External"/><Relationship Id="rId37" Type="http://schemas.openxmlformats.org/officeDocument/2006/relationships/hyperlink" Target="https://www.loopnet.com/" TargetMode="External"/><Relationship Id="rId5" Type="http://schemas.openxmlformats.org/officeDocument/2006/relationships/hyperlink" Target="https://www.loopnet.com/" TargetMode="External"/><Relationship Id="rId15" Type="http://schemas.openxmlformats.org/officeDocument/2006/relationships/hyperlink" Target="https://www.loopnet.com/" TargetMode="External"/><Relationship Id="rId23" Type="http://schemas.openxmlformats.org/officeDocument/2006/relationships/hyperlink" Target="https://www.loopnet.com/" TargetMode="External"/><Relationship Id="rId28" Type="http://schemas.openxmlformats.org/officeDocument/2006/relationships/hyperlink" Target="https://www.loopnet.com/" TargetMode="External"/><Relationship Id="rId36" Type="http://schemas.openxmlformats.org/officeDocument/2006/relationships/hyperlink" Target="https://www.loopnet.com/" TargetMode="External"/><Relationship Id="rId10" Type="http://schemas.openxmlformats.org/officeDocument/2006/relationships/hyperlink" Target="https://www.loopnet.com/" TargetMode="External"/><Relationship Id="rId19" Type="http://schemas.openxmlformats.org/officeDocument/2006/relationships/hyperlink" Target="https://www.loopnet.com/" TargetMode="External"/><Relationship Id="rId31" Type="http://schemas.openxmlformats.org/officeDocument/2006/relationships/hyperlink" Target="https://www.loopnet.com/" TargetMode="External"/><Relationship Id="rId4" Type="http://schemas.openxmlformats.org/officeDocument/2006/relationships/hyperlink" Target="https://www.loopnet.com/" TargetMode="External"/><Relationship Id="rId9" Type="http://schemas.openxmlformats.org/officeDocument/2006/relationships/hyperlink" Target="https://www.loopnet.com/" TargetMode="External"/><Relationship Id="rId14" Type="http://schemas.openxmlformats.org/officeDocument/2006/relationships/hyperlink" Target="https://www.loopnet.com/" TargetMode="External"/><Relationship Id="rId22" Type="http://schemas.openxmlformats.org/officeDocument/2006/relationships/hyperlink" Target="https://www.loopnet.com/" TargetMode="External"/><Relationship Id="rId27" Type="http://schemas.openxmlformats.org/officeDocument/2006/relationships/hyperlink" Target="https://www.loopnet.com/" TargetMode="External"/><Relationship Id="rId30" Type="http://schemas.openxmlformats.org/officeDocument/2006/relationships/hyperlink" Target="https://www.loopnet.com/" TargetMode="External"/><Relationship Id="rId35" Type="http://schemas.openxmlformats.org/officeDocument/2006/relationships/hyperlink" Target="https://www.loopnet.com/" TargetMode="External"/><Relationship Id="rId8" Type="http://schemas.openxmlformats.org/officeDocument/2006/relationships/hyperlink" Target="https://www.loopnet.com/" TargetMode="External"/><Relationship Id="rId3" Type="http://schemas.openxmlformats.org/officeDocument/2006/relationships/hyperlink" Target="https://www.loopnet.com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ommercialcafe.com/commercial-property/us/ny/new-york/22-8th-ave-1/" TargetMode="External"/><Relationship Id="rId21" Type="http://schemas.openxmlformats.org/officeDocument/2006/relationships/hyperlink" Target="https://www.loopnet.com/Listing/118-Macdougal-St-New-York-NY/38433100/" TargetMode="External"/><Relationship Id="rId42" Type="http://schemas.openxmlformats.org/officeDocument/2006/relationships/hyperlink" Target="https://www.commercialcafe.com/commercial-property/us/ny/new-york/111-john-street-1/" TargetMode="External"/><Relationship Id="rId47" Type="http://schemas.openxmlformats.org/officeDocument/2006/relationships/hyperlink" Target="https://www.commercialcafe.com/commercial-property/us/ny/new-york/547-west-27th-street-2/" TargetMode="External"/><Relationship Id="rId63" Type="http://schemas.openxmlformats.org/officeDocument/2006/relationships/hyperlink" Target="https://www.loopnet.com/Listing/2108-Second-Ave-New-York-NY/34696983/" TargetMode="External"/><Relationship Id="rId68" Type="http://schemas.openxmlformats.org/officeDocument/2006/relationships/hyperlink" Target="https://www.loopnet.com/Listing/3910-3918-Broadway-New-York-NY/9282046/" TargetMode="External"/><Relationship Id="rId16" Type="http://schemas.openxmlformats.org/officeDocument/2006/relationships/hyperlink" Target="https://www.loopnet.com/Listing/119-Mott-St-New-York-NY/36644997/" TargetMode="External"/><Relationship Id="rId11" Type="http://schemas.openxmlformats.org/officeDocument/2006/relationships/hyperlink" Target="https://www.loopnet.com/Listing/265-Water-St-New-York-NY/36625135/" TargetMode="External"/><Relationship Id="rId24" Type="http://schemas.openxmlformats.org/officeDocument/2006/relationships/hyperlink" Target="https://www.commercialcafe.com/commercial-property/us/ny/new-york/29-7th-ave-s/" TargetMode="External"/><Relationship Id="rId32" Type="http://schemas.openxmlformats.org/officeDocument/2006/relationships/hyperlink" Target="https://www.commercialcafe.com/commercial-property/us/ny/new-york/58-e-11th-st-1/" TargetMode="External"/><Relationship Id="rId37" Type="http://schemas.openxmlformats.org/officeDocument/2006/relationships/hyperlink" Target="https://www.commercialcafe.com/commercial-property/us/ny/new-york/46-hester-st/" TargetMode="External"/><Relationship Id="rId40" Type="http://schemas.openxmlformats.org/officeDocument/2006/relationships/hyperlink" Target="https://www.commercialcafe.com/commercial-property/us/ny/greenpoint/215-water-street/" TargetMode="External"/><Relationship Id="rId45" Type="http://schemas.openxmlformats.org/officeDocument/2006/relationships/hyperlink" Target="https://www.commercialcafe.com/commercial-property/us/ny/new-york/263-west-34th-street/" TargetMode="External"/><Relationship Id="rId53" Type="http://schemas.openxmlformats.org/officeDocument/2006/relationships/hyperlink" Target="https://www.commercialcafe.com/commercial-property/us/ny/new-york/1523-york-avenue/" TargetMode="External"/><Relationship Id="rId58" Type="http://schemas.openxmlformats.org/officeDocument/2006/relationships/hyperlink" Target="https://www.commercialcafe.com/commercial-property/us/ny/new-york/2241-43-frederick-douglass-blvd/" TargetMode="External"/><Relationship Id="rId66" Type="http://schemas.openxmlformats.org/officeDocument/2006/relationships/hyperlink" Target="https://www.loopnet.com/Listing/3643-3651-Broadway-New-York-NY/38890168/" TargetMode="External"/><Relationship Id="rId74" Type="http://schemas.openxmlformats.org/officeDocument/2006/relationships/hyperlink" Target="https://www.commercialcafe.com/commercial-property/us/ny/new-york/129-nagle-avenue-1/" TargetMode="External"/><Relationship Id="rId79" Type="http://schemas.openxmlformats.org/officeDocument/2006/relationships/hyperlink" Target="https://www.loopnet.com/Listing/62-Madison-Ave-New-York-NY/36999238/" TargetMode="External"/><Relationship Id="rId5" Type="http://schemas.openxmlformats.org/officeDocument/2006/relationships/hyperlink" Target="https://www.loopnet.com/Listing/370-W-52nd-St-New-York-NY/37512163/" TargetMode="External"/><Relationship Id="rId61" Type="http://schemas.openxmlformats.org/officeDocument/2006/relationships/hyperlink" Target="https://www.commercialcafe.com/commercial-property/us/ny/new-york/2229-frederick-douglass-blvd/" TargetMode="External"/><Relationship Id="rId19" Type="http://schemas.openxmlformats.org/officeDocument/2006/relationships/hyperlink" Target="https://www.loopnet.com/Listing/334-336-Bowery-New-York-NY/38987219/" TargetMode="External"/><Relationship Id="rId14" Type="http://schemas.openxmlformats.org/officeDocument/2006/relationships/hyperlink" Target="https://www.commercialcafe.com/commercial-property/us/ny/new-york/225-broadway/" TargetMode="External"/><Relationship Id="rId22" Type="http://schemas.openxmlformats.org/officeDocument/2006/relationships/hyperlink" Target="https://www.loopnet.com/Listing/172-Thompson-St-New-York-NY/38507747/" TargetMode="External"/><Relationship Id="rId27" Type="http://schemas.openxmlformats.org/officeDocument/2006/relationships/hyperlink" Target="https://www.commercialcafe.com/commercial-property/us/ny/new-york/29-7th-ave-s/" TargetMode="External"/><Relationship Id="rId30" Type="http://schemas.openxmlformats.org/officeDocument/2006/relationships/hyperlink" Target="https://www.loopnet.com/Listing/103-First-Ave-New-York-NY/39087766/" TargetMode="External"/><Relationship Id="rId35" Type="http://schemas.openxmlformats.org/officeDocument/2006/relationships/hyperlink" Target="https://www.commercialcafe.com/commercial-property/us/ny/new-york/119-hester-st/" TargetMode="External"/><Relationship Id="rId43" Type="http://schemas.openxmlformats.org/officeDocument/2006/relationships/hyperlink" Target="https://www.commercialcafe.com/commercial-property/us/ny/new-york/295-7th-ave/" TargetMode="External"/><Relationship Id="rId48" Type="http://schemas.openxmlformats.org/officeDocument/2006/relationships/hyperlink" Target="https://www.loopnet.com/Listing/115-E-23rd-St-New-York-NY/22749269/" TargetMode="External"/><Relationship Id="rId56" Type="http://schemas.openxmlformats.org/officeDocument/2006/relationships/hyperlink" Target="https://www.commercialcafe.com/commercial-property/us/ny/new-york/1260-third-avenue/" TargetMode="External"/><Relationship Id="rId64" Type="http://schemas.openxmlformats.org/officeDocument/2006/relationships/hyperlink" Target="https://www.loopnet.com/Listing/100-E-116th-St-New-York-NY/38601308/" TargetMode="External"/><Relationship Id="rId69" Type="http://schemas.openxmlformats.org/officeDocument/2006/relationships/hyperlink" Target="https://www.commercialcafe.com/commercial-property/us/ny/new-york/3821-3835-broadway-600-west-160th-street/" TargetMode="External"/><Relationship Id="rId77" Type="http://schemas.openxmlformats.org/officeDocument/2006/relationships/hyperlink" Target="https://www.loopnet.com/Listing/802-Ninth-Ave-New-York-NY/38646478/" TargetMode="External"/><Relationship Id="rId8" Type="http://schemas.openxmlformats.org/officeDocument/2006/relationships/hyperlink" Target="https://www.loopnet.com/Listing/853-Seventh-Ave-New-York-NY/31194144/" TargetMode="External"/><Relationship Id="rId51" Type="http://schemas.openxmlformats.org/officeDocument/2006/relationships/hyperlink" Target="https://www.commercialcafe.com/commercial-property/us/ny/new-york/2567-broadway/" TargetMode="External"/><Relationship Id="rId72" Type="http://schemas.openxmlformats.org/officeDocument/2006/relationships/hyperlink" Target="https://www.loopnet.com/Listing/122-Dyckman-St-New-York-NY/34663218/" TargetMode="External"/><Relationship Id="rId80" Type="http://schemas.openxmlformats.org/officeDocument/2006/relationships/hyperlink" Target="https://www.loopnet.com/Listing/242-246-Madison-Ave-New-York-NY/21249381/" TargetMode="External"/><Relationship Id="rId3" Type="http://schemas.openxmlformats.org/officeDocument/2006/relationships/hyperlink" Target="https://www.loopnet.com/Listing/114-W-47th-St-New-York-NY/38309755/" TargetMode="External"/><Relationship Id="rId12" Type="http://schemas.openxmlformats.org/officeDocument/2006/relationships/hyperlink" Target="https://www.loopnet.com/Listing/88-Fulton-St-New-York-NY/38097531/" TargetMode="External"/><Relationship Id="rId17" Type="http://schemas.openxmlformats.org/officeDocument/2006/relationships/hyperlink" Target="https://www.loopnet.com/Listing/339-Broadway-New-York-NY/38392136/" TargetMode="External"/><Relationship Id="rId25" Type="http://schemas.openxmlformats.org/officeDocument/2006/relationships/hyperlink" Target="https://www.commercialcafe.com/commercial-property/us/ny/new-york/11-abingdon-square/" TargetMode="External"/><Relationship Id="rId33" Type="http://schemas.openxmlformats.org/officeDocument/2006/relationships/hyperlink" Target="https://www.loopnet.com/Listing/163-Orchard-St-New-York-NY/38830426/" TargetMode="External"/><Relationship Id="rId38" Type="http://schemas.openxmlformats.org/officeDocument/2006/relationships/hyperlink" Target="https://www.loopnet.com/Listing/88-Fulton-St-New-York-NY/38097531/" TargetMode="External"/><Relationship Id="rId46" Type="http://schemas.openxmlformats.org/officeDocument/2006/relationships/hyperlink" Target="https://www.commercialcafe.com/commercial-property/us/ny/new-york/547-west-27th-street-2/" TargetMode="External"/><Relationship Id="rId59" Type="http://schemas.openxmlformats.org/officeDocument/2006/relationships/hyperlink" Target="https://www.commercialcafe.com/commercial-property/us/ny/new-york/lenox-gardens-apartment-corporation/" TargetMode="External"/><Relationship Id="rId67" Type="http://schemas.openxmlformats.org/officeDocument/2006/relationships/hyperlink" Target="https://www.commercialcafe.com/commercial-property/us/ny/new-york/1504-amsterdam-ave/" TargetMode="External"/><Relationship Id="rId20" Type="http://schemas.openxmlformats.org/officeDocument/2006/relationships/hyperlink" Target="https://www.loopnet.com/Listing/64-66-W-Third-St-New-York-NY/19858371/" TargetMode="External"/><Relationship Id="rId41" Type="http://schemas.openxmlformats.org/officeDocument/2006/relationships/hyperlink" Target="https://www.commercialcafe.com/commercial-property/us/ny/new-york/111-john-street-1/" TargetMode="External"/><Relationship Id="rId54" Type="http://schemas.openxmlformats.org/officeDocument/2006/relationships/hyperlink" Target="https://www.commercialcafe.com/commercial-property/us/ny/new-york/1523-york-avenue/" TargetMode="External"/><Relationship Id="rId62" Type="http://schemas.openxmlformats.org/officeDocument/2006/relationships/hyperlink" Target="https://www.loopnet.com/Listing/358-112th-St-New-York-NY/28627419/" TargetMode="External"/><Relationship Id="rId70" Type="http://schemas.openxmlformats.org/officeDocument/2006/relationships/hyperlink" Target="https://www.commercialcafe.com/commercial-property/us/ny/new-york/1984-amsterdam-avenue/" TargetMode="External"/><Relationship Id="rId75" Type="http://schemas.openxmlformats.org/officeDocument/2006/relationships/hyperlink" Target="https://www.loopnet.com/Listing/370-W-52nd-St-New-York-NY/37512163/" TargetMode="External"/><Relationship Id="rId1" Type="http://schemas.openxmlformats.org/officeDocument/2006/relationships/hyperlink" Target="https://www.commercialcafe.com/commercial-property/us/ny/new-york/699-10th-ave/" TargetMode="External"/><Relationship Id="rId6" Type="http://schemas.openxmlformats.org/officeDocument/2006/relationships/hyperlink" Target="https://www.loopnet.com/Listing/802-Ninth-Ave-New-York-NY/38646478/" TargetMode="External"/><Relationship Id="rId15" Type="http://schemas.openxmlformats.org/officeDocument/2006/relationships/hyperlink" Target="https://www.loopnet.com/Listing/519-Broome-St-New-York-NY/29453356/" TargetMode="External"/><Relationship Id="rId23" Type="http://schemas.openxmlformats.org/officeDocument/2006/relationships/hyperlink" Target="https://www.loopnet.com/Listing/48-Carmine-St-New-York-NY/37261651/" TargetMode="External"/><Relationship Id="rId28" Type="http://schemas.openxmlformats.org/officeDocument/2006/relationships/hyperlink" Target="https://www.loopnet.com/Listing/70-University-Pl-New-York-NY/38256454/" TargetMode="External"/><Relationship Id="rId36" Type="http://schemas.openxmlformats.org/officeDocument/2006/relationships/hyperlink" Target="https://www.commercialcafe.com/commercial-property/us/ny/new-york/119-hester-st/" TargetMode="External"/><Relationship Id="rId49" Type="http://schemas.openxmlformats.org/officeDocument/2006/relationships/hyperlink" Target="https://www.commercialcafe.com/commercial-property/us/ny/new-york/53-west-23rd-street/" TargetMode="External"/><Relationship Id="rId57" Type="http://schemas.openxmlformats.org/officeDocument/2006/relationships/hyperlink" Target="https://www.commercialcafe.com/commercial-property/us/ny/new-york/4-w-125th-st-1/" TargetMode="External"/><Relationship Id="rId10" Type="http://schemas.openxmlformats.org/officeDocument/2006/relationships/hyperlink" Target="https://www.loopnet.com/Listing/124-Chambers-St-New-York-NY/36273716/" TargetMode="External"/><Relationship Id="rId31" Type="http://schemas.openxmlformats.org/officeDocument/2006/relationships/hyperlink" Target="https://www.loopnet.com/Listing/60-62-2nd-Ave-New-York-NY/37725594/" TargetMode="External"/><Relationship Id="rId44" Type="http://schemas.openxmlformats.org/officeDocument/2006/relationships/hyperlink" Target="https://www.commercialcafe.com/commercial-property/us/ny/new-york/350-9-ave/" TargetMode="External"/><Relationship Id="rId52" Type="http://schemas.openxmlformats.org/officeDocument/2006/relationships/hyperlink" Target="https://www.commercialcafe.com/commercial-property/us/ny/new-york/2234-broadway/" TargetMode="External"/><Relationship Id="rId60" Type="http://schemas.openxmlformats.org/officeDocument/2006/relationships/hyperlink" Target="https://www.commercialcafe.com/commercial-property/us/ny/new-york/lenox-gardens-apartment-corporation/" TargetMode="External"/><Relationship Id="rId65" Type="http://schemas.openxmlformats.org/officeDocument/2006/relationships/hyperlink" Target="https://www.loopnet.com/Listing/1504-1506-Amsterdam-Ave-New-York-NY/38187503/" TargetMode="External"/><Relationship Id="rId73" Type="http://schemas.openxmlformats.org/officeDocument/2006/relationships/hyperlink" Target="https://www.commercialcafe.com/commercial-property/us/ny/new-york/129-nagle-avenue-1/" TargetMode="External"/><Relationship Id="rId78" Type="http://schemas.openxmlformats.org/officeDocument/2006/relationships/hyperlink" Target="https://www.loopnet.com/Listing/482-484-Third-Ave-New-York-NY/37786027/" TargetMode="External"/><Relationship Id="rId4" Type="http://schemas.openxmlformats.org/officeDocument/2006/relationships/hyperlink" Target="https://www.loopnet.com/Listing/662-9th-Ave-New-York-NY/38536758/" TargetMode="External"/><Relationship Id="rId9" Type="http://schemas.openxmlformats.org/officeDocument/2006/relationships/hyperlink" Target="https://www.loopnet.com/Listing/106-Duane-St-New-York-NY/33233195/" TargetMode="External"/><Relationship Id="rId13" Type="http://schemas.openxmlformats.org/officeDocument/2006/relationships/hyperlink" Target="https://www.loopnet.com/Listing/225-Broadway-New-York-NY/3938604/" TargetMode="External"/><Relationship Id="rId18" Type="http://schemas.openxmlformats.org/officeDocument/2006/relationships/hyperlink" Target="https://www.loopnet.com/Listing/30-Kenmare-St-New-York-NY/27231882/" TargetMode="External"/><Relationship Id="rId39" Type="http://schemas.openxmlformats.org/officeDocument/2006/relationships/hyperlink" Target="https://www.loopnet.com/Listing/265-Water-St-New-York-NY/36625135/" TargetMode="External"/><Relationship Id="rId34" Type="http://schemas.openxmlformats.org/officeDocument/2006/relationships/hyperlink" Target="https://www.loopnet.com/Listing/133-Ludlow-St-New-York-NY/38571770/" TargetMode="External"/><Relationship Id="rId50" Type="http://schemas.openxmlformats.org/officeDocument/2006/relationships/hyperlink" Target="https://www.commercialcafe.com/commercial-property/us/ny/new-york/1151-broadway-street/" TargetMode="External"/><Relationship Id="rId55" Type="http://schemas.openxmlformats.org/officeDocument/2006/relationships/hyperlink" Target="https://www.commercialcafe.com/commercial-property/us/ny/new-york/334-e-73rd-st/" TargetMode="External"/><Relationship Id="rId76" Type="http://schemas.openxmlformats.org/officeDocument/2006/relationships/hyperlink" Target="https://www.loopnet.com/Listing/802-Ninth-Ave-New-York-NY/38646478/" TargetMode="External"/><Relationship Id="rId7" Type="http://schemas.openxmlformats.org/officeDocument/2006/relationships/hyperlink" Target="https://www.loopnet.com/Listing/244-252-W-54th-St-New-York-NY/6177110/" TargetMode="External"/><Relationship Id="rId71" Type="http://schemas.openxmlformats.org/officeDocument/2006/relationships/hyperlink" Target="https://www.commercialcafe.com/commercial-property/us/ny/new-york/3787-3799-broadway-604-610-west-158th-street-5-11-edward-m-morgan-place/" TargetMode="External"/><Relationship Id="rId2" Type="http://schemas.openxmlformats.org/officeDocument/2006/relationships/hyperlink" Target="https://www.loopnet.com/Listing/555-W-43rd-St-New-York-NY/38186911/" TargetMode="External"/><Relationship Id="rId29" Type="http://schemas.openxmlformats.org/officeDocument/2006/relationships/hyperlink" Target="https://www.loopnet.com/Listing/214-216-E-9th-St-New-York-NY/3621329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A29" workbookViewId="0">
      <selection sqref="A1:H39"/>
    </sheetView>
  </sheetViews>
  <sheetFormatPr baseColWidth="10" defaultColWidth="12.5703125" defaultRowHeight="15" customHeight="1"/>
  <cols>
    <col min="1" max="2" width="30.7109375" style="17" customWidth="1"/>
    <col min="3" max="3" width="26.42578125" style="17" customWidth="1"/>
    <col min="4" max="4" width="33.42578125" style="17" bestFit="1" customWidth="1"/>
    <col min="5" max="5" width="17" style="17" customWidth="1"/>
    <col min="6" max="6" width="28.42578125" style="17" customWidth="1"/>
    <col min="7" max="7" width="25.140625" style="17" customWidth="1"/>
    <col min="8" max="8" width="39.85546875" style="17" customWidth="1"/>
    <col min="9" max="9" width="50.42578125" style="16" customWidth="1"/>
    <col min="10" max="22" width="10.5703125" style="16" customWidth="1"/>
    <col min="23" max="16384" width="12.5703125" style="16"/>
  </cols>
  <sheetData>
    <row r="1" spans="1:8" ht="45.75" customHeight="1">
      <c r="A1" s="18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9" t="s">
        <v>5</v>
      </c>
      <c r="G1" s="18" t="s">
        <v>6</v>
      </c>
      <c r="H1" s="18" t="s">
        <v>7</v>
      </c>
    </row>
    <row r="2" spans="1:8" ht="39.950000000000003" customHeight="1">
      <c r="A2" s="20" t="s">
        <v>163</v>
      </c>
      <c r="B2" s="21" t="s">
        <v>16</v>
      </c>
      <c r="C2" s="22" t="s">
        <v>13</v>
      </c>
      <c r="D2" s="23" t="s">
        <v>14</v>
      </c>
      <c r="E2" s="24">
        <f>AVERAGE('[1]DATOS LEVANTADOS '!G10:G13)</f>
        <v>91.91</v>
      </c>
      <c r="F2" s="24">
        <f>AVERAGE('[1]DATOS LEVANTADOS '!D10:D13)</f>
        <v>15466.5625</v>
      </c>
      <c r="G2" s="25" t="s">
        <v>11</v>
      </c>
      <c r="H2" s="26" t="s">
        <v>215</v>
      </c>
    </row>
    <row r="3" spans="1:8" ht="39.950000000000003" customHeight="1">
      <c r="A3" s="20" t="s">
        <v>164</v>
      </c>
      <c r="B3" s="21" t="s">
        <v>214</v>
      </c>
      <c r="C3" s="22" t="s">
        <v>17</v>
      </c>
      <c r="D3" s="23" t="s">
        <v>18</v>
      </c>
      <c r="E3" s="24">
        <f>AVERAGE('[1]DATOS LEVANTADOS '!G14:G18)</f>
        <v>122.72199999999998</v>
      </c>
      <c r="F3" s="27">
        <f>AVERAGE('[1]DATOS LEVANTADOS '!D14:D18)</f>
        <v>32769.239000000001</v>
      </c>
      <c r="G3" s="25" t="s">
        <v>11</v>
      </c>
      <c r="H3" s="26" t="s">
        <v>215</v>
      </c>
    </row>
    <row r="4" spans="1:8" ht="39.950000000000003" customHeight="1">
      <c r="A4" s="20" t="s">
        <v>166</v>
      </c>
      <c r="B4" s="28" t="s">
        <v>165</v>
      </c>
      <c r="C4" s="25" t="s">
        <v>216</v>
      </c>
      <c r="D4" s="2" t="s">
        <v>217</v>
      </c>
      <c r="E4" s="27">
        <f>AVERAGE('[1]DATOS LEVANTADOS '!G82:G84)</f>
        <v>61</v>
      </c>
      <c r="F4" s="27">
        <f>AVERAGE('[1]DATOS LEVANTADOS '!D82:D84)</f>
        <v>13571.805555555555</v>
      </c>
      <c r="G4" s="25" t="s">
        <v>11</v>
      </c>
      <c r="H4" s="26" t="s">
        <v>215</v>
      </c>
    </row>
    <row r="5" spans="1:8" ht="39.950000000000003" customHeight="1">
      <c r="A5" s="20" t="s">
        <v>167</v>
      </c>
      <c r="B5" s="21" t="s">
        <v>20</v>
      </c>
      <c r="C5" s="22" t="s">
        <v>21</v>
      </c>
      <c r="D5" s="23" t="s">
        <v>22</v>
      </c>
      <c r="E5" s="24">
        <f>AVERAGE('[1]DATOS LEVANTADOS '!G19:G23)</f>
        <v>190.54000000000002</v>
      </c>
      <c r="F5" s="24">
        <f>AVERAGE('[1]DATOS LEVANTADOS '!D19:D23)</f>
        <v>25993.451000000001</v>
      </c>
      <c r="G5" s="25" t="s">
        <v>11</v>
      </c>
      <c r="H5" s="26" t="s">
        <v>218</v>
      </c>
    </row>
    <row r="6" spans="1:8" ht="39.950000000000003" customHeight="1">
      <c r="A6" s="20" t="s">
        <v>168</v>
      </c>
      <c r="B6" s="28" t="s">
        <v>24</v>
      </c>
      <c r="C6" s="25" t="s">
        <v>219</v>
      </c>
      <c r="D6" s="25" t="s">
        <v>220</v>
      </c>
      <c r="E6" s="24">
        <f>AVERAGE('[1]DATOS LEVANTADOS '!G85:G87)</f>
        <v>99.027777777777771</v>
      </c>
      <c r="F6" s="24">
        <f>AVERAGE('[1]DATOS LEVANTADOS '!D85:D87)</f>
        <v>17666.666666666668</v>
      </c>
      <c r="G6" s="25" t="s">
        <v>11</v>
      </c>
      <c r="H6" s="26" t="s">
        <v>215</v>
      </c>
    </row>
    <row r="7" spans="1:8" ht="39.950000000000003" customHeight="1">
      <c r="A7" s="20" t="s">
        <v>23</v>
      </c>
      <c r="B7" s="21" t="s">
        <v>169</v>
      </c>
      <c r="C7" s="22" t="s">
        <v>25</v>
      </c>
      <c r="D7" s="23" t="s">
        <v>26</v>
      </c>
      <c r="E7" s="24">
        <f>AVERAGE('[1]DATOS LEVANTADOS '!G24:G28)</f>
        <v>220.8099891422367</v>
      </c>
      <c r="F7" s="24">
        <f>AVERAGE('[1]DATOS LEVANTADOS '!D24:D28)</f>
        <v>31027.166666666664</v>
      </c>
      <c r="G7" s="25" t="s">
        <v>11</v>
      </c>
      <c r="H7" s="26" t="s">
        <v>215</v>
      </c>
    </row>
    <row r="8" spans="1:8" ht="39.950000000000003" customHeight="1">
      <c r="A8" s="20" t="s">
        <v>170</v>
      </c>
      <c r="B8" s="28" t="s">
        <v>36</v>
      </c>
      <c r="C8" s="22" t="s">
        <v>37</v>
      </c>
      <c r="D8" s="23" t="s">
        <v>38</v>
      </c>
      <c r="E8" s="24">
        <f>AVERAGE('[1]DATOS LEVANTADOS '!G39:G43)</f>
        <v>61.8</v>
      </c>
      <c r="F8" s="24">
        <f>AVERAGE('[1]DATOS LEVANTADOS '!D39:D43)</f>
        <v>12005.833333333334</v>
      </c>
      <c r="G8" s="25" t="s">
        <v>11</v>
      </c>
      <c r="H8" s="26" t="s">
        <v>215</v>
      </c>
    </row>
    <row r="9" spans="1:8" ht="39.950000000000003" customHeight="1">
      <c r="A9" s="20" t="s">
        <v>31</v>
      </c>
      <c r="B9" s="28" t="s">
        <v>32</v>
      </c>
      <c r="C9" s="22" t="s">
        <v>33</v>
      </c>
      <c r="D9" s="23" t="s">
        <v>34</v>
      </c>
      <c r="E9" s="24">
        <f>AVERAGE('[1]DATOS LEVANTADOS '!G34:G38)</f>
        <v>107.9</v>
      </c>
      <c r="F9" s="24">
        <f>AVERAGE('[1]DATOS LEVANTADOS '!D34:D38)</f>
        <v>9668.5416666666679</v>
      </c>
      <c r="G9" s="25" t="s">
        <v>11</v>
      </c>
      <c r="H9" s="26" t="s">
        <v>215</v>
      </c>
    </row>
    <row r="10" spans="1:8" ht="39.950000000000003" customHeight="1">
      <c r="A10" s="20" t="s">
        <v>27</v>
      </c>
      <c r="B10" s="28" t="s">
        <v>28</v>
      </c>
      <c r="C10" s="22" t="s">
        <v>29</v>
      </c>
      <c r="D10" s="23" t="s">
        <v>30</v>
      </c>
      <c r="E10" s="24">
        <f>AVERAGE('[1]DATOS LEVANTADOS '!G29:G33)</f>
        <v>127.58399999999999</v>
      </c>
      <c r="F10" s="24">
        <f>AVERAGE('[1]DATOS LEVANTADOS '!D29:D33)</f>
        <v>36959.76666666667</v>
      </c>
      <c r="G10" s="25" t="s">
        <v>11</v>
      </c>
      <c r="H10" s="26" t="s">
        <v>215</v>
      </c>
    </row>
    <row r="11" spans="1:8" ht="39.950000000000003" customHeight="1">
      <c r="A11" s="20" t="s">
        <v>171</v>
      </c>
      <c r="B11" s="28" t="s">
        <v>40</v>
      </c>
      <c r="C11" s="22" t="s">
        <v>41</v>
      </c>
      <c r="D11" s="23" t="s">
        <v>42</v>
      </c>
      <c r="E11" s="24">
        <f>AVERAGE('[1]DATOS LEVANTADOS '!G44:G48)</f>
        <v>63.643137254901966</v>
      </c>
      <c r="F11" s="24">
        <f>AVERAGE('[1]DATOS LEVANTADOS '!D44:D48)</f>
        <v>12211.733333333334</v>
      </c>
      <c r="G11" s="25" t="s">
        <v>11</v>
      </c>
      <c r="H11" s="26" t="s">
        <v>215</v>
      </c>
    </row>
    <row r="12" spans="1:8" ht="39.950000000000003" customHeight="1">
      <c r="A12" s="20" t="s">
        <v>172</v>
      </c>
      <c r="B12" s="28" t="s">
        <v>8</v>
      </c>
      <c r="C12" s="22" t="s">
        <v>9</v>
      </c>
      <c r="D12" s="23" t="s">
        <v>10</v>
      </c>
      <c r="E12" s="27">
        <f>AVERAGE('[1]DATOS LEVANTADOS '!G2:G9)</f>
        <v>126.1425706940874</v>
      </c>
      <c r="F12" s="27">
        <f>AVERAGE('[1]DATOS LEVANTADOS '!D2:D9)</f>
        <v>21079.157291666666</v>
      </c>
      <c r="G12" s="25" t="s">
        <v>11</v>
      </c>
      <c r="H12" s="26" t="s">
        <v>215</v>
      </c>
    </row>
    <row r="13" spans="1:8" ht="39.950000000000003" customHeight="1">
      <c r="A13" s="20" t="s">
        <v>173</v>
      </c>
      <c r="B13" s="28" t="s">
        <v>44</v>
      </c>
      <c r="C13" s="22" t="s">
        <v>45</v>
      </c>
      <c r="D13" s="23" t="s">
        <v>46</v>
      </c>
      <c r="E13" s="24">
        <f>AVERAGE('[1]DATOS LEVANTADOS '!G49:G51)</f>
        <v>68.5</v>
      </c>
      <c r="F13" s="24">
        <f>AVERAGE('[1]DATOS LEVANTADOS '!D49:D51)</f>
        <v>18776.166666666668</v>
      </c>
      <c r="G13" s="25" t="s">
        <v>11</v>
      </c>
      <c r="H13" s="26" t="s">
        <v>215</v>
      </c>
    </row>
    <row r="14" spans="1:8" ht="39.950000000000003" customHeight="1">
      <c r="A14" s="20" t="s">
        <v>174</v>
      </c>
      <c r="B14" s="28" t="s">
        <v>48</v>
      </c>
      <c r="C14" s="22" t="s">
        <v>49</v>
      </c>
      <c r="D14" s="23" t="s">
        <v>50</v>
      </c>
      <c r="E14" s="24">
        <f>AVERAGE('[1]DATOS LEVANTADOS '!G76:G78)</f>
        <v>199.66666666666666</v>
      </c>
      <c r="F14" s="24">
        <f>AVERAGE('[1]DATOS LEVANTADOS '!D76:D78)</f>
        <v>25269.444444444449</v>
      </c>
      <c r="G14" s="25" t="s">
        <v>11</v>
      </c>
      <c r="H14" s="26" t="s">
        <v>215</v>
      </c>
    </row>
    <row r="15" spans="1:8" ht="39.950000000000003" customHeight="1">
      <c r="A15" s="20" t="s">
        <v>175</v>
      </c>
      <c r="B15" s="28" t="s">
        <v>52</v>
      </c>
      <c r="C15" s="25" t="s">
        <v>221</v>
      </c>
      <c r="D15" s="2" t="s">
        <v>222</v>
      </c>
      <c r="E15" s="24">
        <v>140</v>
      </c>
      <c r="F15" s="24">
        <v>20000</v>
      </c>
      <c r="G15" s="25" t="s">
        <v>11</v>
      </c>
      <c r="H15" s="26" t="s">
        <v>215</v>
      </c>
    </row>
    <row r="16" spans="1:8" ht="39.950000000000003" customHeight="1">
      <c r="A16" s="20" t="s">
        <v>177</v>
      </c>
      <c r="B16" s="28" t="s">
        <v>176</v>
      </c>
      <c r="C16" s="25">
        <v>10010</v>
      </c>
      <c r="D16" s="2" t="s">
        <v>223</v>
      </c>
      <c r="E16" s="27">
        <f>AVERAGE('[1]DATOS LEVANTADOS '!G88:G90)</f>
        <v>138.33333333333334</v>
      </c>
      <c r="F16" s="27">
        <f>AVERAGE('[1]DATOS LEVANTADOS '!D88:D90)</f>
        <v>22875.555555555558</v>
      </c>
      <c r="G16" s="25" t="s">
        <v>11</v>
      </c>
      <c r="H16" s="26" t="s">
        <v>215</v>
      </c>
    </row>
    <row r="17" spans="1:8" ht="39.950000000000003" customHeight="1">
      <c r="A17" s="20" t="s">
        <v>179</v>
      </c>
      <c r="B17" s="21" t="s">
        <v>178</v>
      </c>
      <c r="C17" s="22" t="s">
        <v>53</v>
      </c>
      <c r="D17" s="23" t="s">
        <v>54</v>
      </c>
      <c r="E17" s="24">
        <f>AVERAGE('[1]DATOS LEVANTADOS '!G79:G81)</f>
        <v>190</v>
      </c>
      <c r="F17" s="24">
        <f>AVERAGE('[1]DATOS LEVANTADOS '!D79:D81)</f>
        <v>18638.888888888891</v>
      </c>
      <c r="G17" s="25" t="s">
        <v>11</v>
      </c>
      <c r="H17" s="26" t="s">
        <v>215</v>
      </c>
    </row>
    <row r="18" spans="1:8" ht="39.950000000000003" customHeight="1">
      <c r="A18" s="20" t="s">
        <v>181</v>
      </c>
      <c r="B18" s="28" t="s">
        <v>180</v>
      </c>
      <c r="C18" s="2" t="s">
        <v>224</v>
      </c>
      <c r="D18" s="25" t="s">
        <v>225</v>
      </c>
      <c r="E18" s="24">
        <v>220</v>
      </c>
      <c r="F18" s="24">
        <v>30000</v>
      </c>
      <c r="G18" s="25" t="s">
        <v>11</v>
      </c>
      <c r="H18" s="26" t="s">
        <v>215</v>
      </c>
    </row>
    <row r="19" spans="1:8" ht="39.950000000000003" customHeight="1">
      <c r="A19" s="20" t="s">
        <v>183</v>
      </c>
      <c r="B19" s="28" t="s">
        <v>182</v>
      </c>
      <c r="C19" s="25" t="s">
        <v>226</v>
      </c>
      <c r="D19" s="25" t="s">
        <v>225</v>
      </c>
      <c r="E19" s="24">
        <v>210</v>
      </c>
      <c r="F19" s="24">
        <v>27500</v>
      </c>
      <c r="G19" s="25" t="s">
        <v>11</v>
      </c>
      <c r="H19" s="26" t="s">
        <v>215</v>
      </c>
    </row>
    <row r="20" spans="1:8" ht="39.950000000000003" customHeight="1">
      <c r="A20" s="20" t="s">
        <v>184</v>
      </c>
      <c r="B20" s="28" t="s">
        <v>56</v>
      </c>
      <c r="C20" s="22" t="s">
        <v>57</v>
      </c>
      <c r="D20" s="23" t="s">
        <v>58</v>
      </c>
      <c r="E20" s="24">
        <f>AVERAGE('[1]DATOS LEVANTADOS '!G52:G54)</f>
        <v>110</v>
      </c>
      <c r="F20" s="24">
        <f>AVERAGE('[1]DATOS LEVANTADOS '!D52:D54)</f>
        <v>18585</v>
      </c>
      <c r="G20" s="25" t="s">
        <v>11</v>
      </c>
      <c r="H20" s="26" t="s">
        <v>215</v>
      </c>
    </row>
    <row r="21" spans="1:8" ht="39.950000000000003" customHeight="1">
      <c r="A21" s="20" t="s">
        <v>186</v>
      </c>
      <c r="B21" s="28" t="s">
        <v>185</v>
      </c>
      <c r="C21" s="22" t="s">
        <v>227</v>
      </c>
      <c r="D21" s="25" t="s">
        <v>228</v>
      </c>
      <c r="E21" s="24">
        <f>AVERAGE('[1]DATOS LEVANTADOS '!G53:G55)</f>
        <v>101.77419354838709</v>
      </c>
      <c r="F21" s="24">
        <f>AVERAGE('[1]DATOS LEVANTADOS '!D53:D55)</f>
        <v>12128.333333333334</v>
      </c>
      <c r="G21" s="25" t="s">
        <v>11</v>
      </c>
      <c r="H21" s="26" t="s">
        <v>215</v>
      </c>
    </row>
    <row r="22" spans="1:8" ht="39.950000000000003" customHeight="1">
      <c r="A22" s="20" t="s">
        <v>188</v>
      </c>
      <c r="B22" s="28" t="s">
        <v>187</v>
      </c>
      <c r="C22" s="25">
        <v>10025</v>
      </c>
      <c r="D22" s="25" t="s">
        <v>229</v>
      </c>
      <c r="E22" s="24">
        <v>165</v>
      </c>
      <c r="F22" s="24">
        <v>22000</v>
      </c>
      <c r="G22" s="25" t="s">
        <v>11</v>
      </c>
      <c r="H22" s="26" t="s">
        <v>215</v>
      </c>
    </row>
    <row r="23" spans="1:8" ht="39.950000000000003" customHeight="1">
      <c r="A23" s="20" t="s">
        <v>189</v>
      </c>
      <c r="B23" s="28" t="s">
        <v>60</v>
      </c>
      <c r="C23" s="22" t="s">
        <v>61</v>
      </c>
      <c r="D23" s="23" t="s">
        <v>62</v>
      </c>
      <c r="E23" s="24">
        <f>AVERAGE('[1]DATOS LEVANTADOS '!G55:G57)</f>
        <v>184.09240373081926</v>
      </c>
      <c r="F23" s="24">
        <f>AVERAGE('[1]DATOS LEVANTADOS '!D55:D57)</f>
        <v>17916.666666666668</v>
      </c>
      <c r="G23" s="25" t="s">
        <v>11</v>
      </c>
      <c r="H23" s="26" t="s">
        <v>215</v>
      </c>
    </row>
    <row r="24" spans="1:8" ht="39.950000000000003" customHeight="1">
      <c r="A24" s="20" t="s">
        <v>191</v>
      </c>
      <c r="B24" s="28" t="s">
        <v>190</v>
      </c>
      <c r="C24" s="25">
        <v>10128</v>
      </c>
      <c r="D24" s="2" t="s">
        <v>230</v>
      </c>
      <c r="E24" s="24">
        <v>200</v>
      </c>
      <c r="F24" s="24">
        <v>27000</v>
      </c>
      <c r="G24" s="25" t="s">
        <v>11</v>
      </c>
      <c r="H24" s="26" t="s">
        <v>215</v>
      </c>
    </row>
    <row r="25" spans="1:8" ht="39.950000000000003" customHeight="1">
      <c r="A25" s="20" t="s">
        <v>193</v>
      </c>
      <c r="B25" s="28" t="s">
        <v>192</v>
      </c>
      <c r="C25" s="25">
        <v>10128</v>
      </c>
      <c r="D25" s="2" t="s">
        <v>231</v>
      </c>
      <c r="E25" s="24">
        <v>170</v>
      </c>
      <c r="F25" s="24">
        <v>23000</v>
      </c>
      <c r="G25" s="25" t="s">
        <v>11</v>
      </c>
      <c r="H25" s="26" t="s">
        <v>215</v>
      </c>
    </row>
    <row r="26" spans="1:8" ht="39.950000000000003" customHeight="1">
      <c r="A26" s="20" t="s">
        <v>63</v>
      </c>
      <c r="B26" s="28" t="s">
        <v>64</v>
      </c>
      <c r="C26" s="22" t="s">
        <v>65</v>
      </c>
      <c r="D26" s="23" t="s">
        <v>66</v>
      </c>
      <c r="E26" s="24">
        <f>AVERAGE('[1]DATOS LEVANTADOS '!G58:G60)</f>
        <v>76.361542078044195</v>
      </c>
      <c r="F26" s="24">
        <f>AVERAGE('[1]DATOS LEVANTADOS '!D58:D60)</f>
        <v>12606.388888888891</v>
      </c>
      <c r="G26" s="25" t="s">
        <v>11</v>
      </c>
      <c r="H26" s="26" t="s">
        <v>215</v>
      </c>
    </row>
    <row r="27" spans="1:8" ht="39.950000000000003" customHeight="1">
      <c r="A27" s="20" t="s">
        <v>194</v>
      </c>
      <c r="B27" s="28" t="s">
        <v>76</v>
      </c>
      <c r="C27" s="22" t="s">
        <v>77</v>
      </c>
      <c r="D27" s="23" t="s">
        <v>78</v>
      </c>
      <c r="E27" s="24">
        <f>AVERAGE('[1]DATOS LEVANTADOS '!G66:G68)</f>
        <v>55.361542078044188</v>
      </c>
      <c r="F27" s="24">
        <f>AVERAGE('[1]DATOS LEVANTADOS '!D66:D68)</f>
        <v>4665</v>
      </c>
      <c r="G27" s="25" t="s">
        <v>11</v>
      </c>
      <c r="H27" s="26" t="s">
        <v>215</v>
      </c>
    </row>
    <row r="28" spans="1:8" ht="39.950000000000003" customHeight="1">
      <c r="A28" s="20" t="s">
        <v>196</v>
      </c>
      <c r="B28" s="28" t="s">
        <v>195</v>
      </c>
      <c r="C28" s="29" t="s">
        <v>232</v>
      </c>
      <c r="D28" s="25" t="s">
        <v>233</v>
      </c>
      <c r="E28" s="24">
        <v>95</v>
      </c>
      <c r="F28" s="24">
        <v>12000</v>
      </c>
      <c r="G28" s="25" t="s">
        <v>11</v>
      </c>
      <c r="H28" s="26" t="s">
        <v>215</v>
      </c>
    </row>
    <row r="29" spans="1:8" ht="39.950000000000003" customHeight="1">
      <c r="A29" s="20" t="s">
        <v>197</v>
      </c>
      <c r="B29" s="28" t="s">
        <v>68</v>
      </c>
      <c r="C29" s="22" t="s">
        <v>69</v>
      </c>
      <c r="D29" s="23" t="s">
        <v>70</v>
      </c>
      <c r="E29" s="24">
        <f>AVERAGE('[1]DATOS LEVANTADOS '!G61:G62)</f>
        <v>70</v>
      </c>
      <c r="F29" s="24">
        <f>AVERAGE('[1]DATOS LEVANTADOS '!D61:D62)</f>
        <v>9437.5</v>
      </c>
      <c r="G29" s="25" t="s">
        <v>11</v>
      </c>
      <c r="H29" s="26" t="s">
        <v>215</v>
      </c>
    </row>
    <row r="30" spans="1:8" ht="39.950000000000003" customHeight="1">
      <c r="A30" s="20" t="s">
        <v>199</v>
      </c>
      <c r="B30" s="28" t="s">
        <v>198</v>
      </c>
      <c r="C30" s="30">
        <v>1003710039</v>
      </c>
      <c r="D30" s="1" t="s">
        <v>234</v>
      </c>
      <c r="E30" s="24">
        <v>110</v>
      </c>
      <c r="F30" s="24">
        <v>13890</v>
      </c>
      <c r="G30" s="25" t="s">
        <v>11</v>
      </c>
      <c r="H30" s="26" t="s">
        <v>215</v>
      </c>
    </row>
    <row r="31" spans="1:8" ht="39.950000000000003" customHeight="1">
      <c r="A31" s="20" t="s">
        <v>200</v>
      </c>
      <c r="B31" s="28" t="s">
        <v>72</v>
      </c>
      <c r="C31" s="22" t="s">
        <v>73</v>
      </c>
      <c r="D31" s="23" t="s">
        <v>74</v>
      </c>
      <c r="E31" s="24">
        <f>AVERAGE('[1]DATOS LEVANTADOS '!G63:G65)</f>
        <v>240.66666666666666</v>
      </c>
      <c r="F31" s="24">
        <f>AVERAGE('[1]DATOS LEVANTADOS '!D63:D65)</f>
        <v>15308.333333333334</v>
      </c>
      <c r="G31" s="25" t="s">
        <v>11</v>
      </c>
      <c r="H31" s="26" t="s">
        <v>215</v>
      </c>
    </row>
    <row r="32" spans="1:8" ht="39.950000000000003" customHeight="1">
      <c r="A32" s="20" t="s">
        <v>202</v>
      </c>
      <c r="B32" s="28" t="s">
        <v>201</v>
      </c>
      <c r="C32" s="25">
        <v>10039</v>
      </c>
      <c r="D32" s="1" t="s">
        <v>235</v>
      </c>
      <c r="E32" s="24">
        <v>100</v>
      </c>
      <c r="F32" s="24">
        <v>13200</v>
      </c>
      <c r="G32" s="25" t="s">
        <v>11</v>
      </c>
      <c r="H32" s="26" t="s">
        <v>215</v>
      </c>
    </row>
    <row r="33" spans="1:8" ht="39.950000000000003" customHeight="1">
      <c r="A33" s="20" t="s">
        <v>204</v>
      </c>
      <c r="B33" s="28" t="s">
        <v>203</v>
      </c>
      <c r="C33" s="25">
        <v>10035</v>
      </c>
      <c r="D33" s="25" t="s">
        <v>236</v>
      </c>
      <c r="E33" s="24">
        <v>75</v>
      </c>
      <c r="F33" s="24">
        <v>8200</v>
      </c>
      <c r="G33" s="25" t="s">
        <v>11</v>
      </c>
      <c r="H33" s="26" t="s">
        <v>215</v>
      </c>
    </row>
    <row r="34" spans="1:8" ht="39.950000000000003" customHeight="1">
      <c r="A34" s="20" t="s">
        <v>205</v>
      </c>
      <c r="B34" s="28" t="s">
        <v>80</v>
      </c>
      <c r="C34" s="22" t="s">
        <v>81</v>
      </c>
      <c r="D34" s="23" t="s">
        <v>82</v>
      </c>
      <c r="E34" s="24">
        <f>AVERAGE('[1]DATOS LEVANTADOS '!G69:G72)</f>
        <v>124.12659065445493</v>
      </c>
      <c r="F34" s="24">
        <f>AVERAGE('[1]DATOS LEVANTADOS '!D69:D72)</f>
        <v>22633.291666666664</v>
      </c>
      <c r="G34" s="25" t="s">
        <v>11</v>
      </c>
      <c r="H34" s="26" t="s">
        <v>215</v>
      </c>
    </row>
    <row r="35" spans="1:8" ht="39.950000000000003" customHeight="1">
      <c r="A35" s="20" t="s">
        <v>207</v>
      </c>
      <c r="B35" s="28" t="s">
        <v>206</v>
      </c>
      <c r="C35" s="25">
        <v>10040</v>
      </c>
      <c r="D35" s="25" t="s">
        <v>237</v>
      </c>
      <c r="E35" s="24">
        <v>95</v>
      </c>
      <c r="F35" s="24">
        <v>11800</v>
      </c>
      <c r="G35" s="25" t="s">
        <v>11</v>
      </c>
      <c r="H35" s="26" t="s">
        <v>215</v>
      </c>
    </row>
    <row r="36" spans="1:8" ht="39.950000000000003" customHeight="1">
      <c r="A36" s="23" t="s">
        <v>83</v>
      </c>
      <c r="B36" s="28" t="s">
        <v>84</v>
      </c>
      <c r="C36" s="22" t="s">
        <v>85</v>
      </c>
      <c r="D36" s="23" t="s">
        <v>86</v>
      </c>
      <c r="E36" s="24">
        <f>AVERAGE('[1]DATOS LEVANTADOS '!G73:G75)</f>
        <v>49.266666666666673</v>
      </c>
      <c r="F36" s="24">
        <f>AVERAGE('[1]DATOS LEVANTADOS '!D73:D75)</f>
        <v>4115.3888888888896</v>
      </c>
      <c r="G36" s="25" t="s">
        <v>11</v>
      </c>
      <c r="H36" s="26" t="s">
        <v>215</v>
      </c>
    </row>
    <row r="37" spans="1:8" ht="39.950000000000003" customHeight="1">
      <c r="A37" s="20" t="s">
        <v>209</v>
      </c>
      <c r="B37" s="28" t="s">
        <v>208</v>
      </c>
      <c r="C37" s="30">
        <v>1003310040</v>
      </c>
      <c r="D37" s="1" t="s">
        <v>238</v>
      </c>
      <c r="E37" s="24">
        <v>87</v>
      </c>
      <c r="F37" s="24">
        <v>10240</v>
      </c>
      <c r="G37" s="25" t="s">
        <v>11</v>
      </c>
      <c r="H37" s="26" t="s">
        <v>215</v>
      </c>
    </row>
    <row r="38" spans="1:8" ht="39.950000000000003" customHeight="1">
      <c r="A38" s="20" t="s">
        <v>211</v>
      </c>
      <c r="B38" s="28" t="s">
        <v>210</v>
      </c>
      <c r="C38" s="25">
        <v>10034</v>
      </c>
      <c r="D38" s="25" t="s">
        <v>86</v>
      </c>
      <c r="E38" s="24">
        <v>80</v>
      </c>
      <c r="F38" s="24">
        <v>9500</v>
      </c>
      <c r="G38" s="25" t="s">
        <v>11</v>
      </c>
      <c r="H38" s="26" t="s">
        <v>215</v>
      </c>
    </row>
    <row r="39" spans="1:8" ht="39.950000000000003" customHeight="1">
      <c r="A39" s="20" t="s">
        <v>213</v>
      </c>
      <c r="B39" s="28" t="s">
        <v>212</v>
      </c>
      <c r="C39" s="30">
        <v>1101910022</v>
      </c>
      <c r="D39" s="25" t="s">
        <v>239</v>
      </c>
      <c r="E39" s="24">
        <v>230</v>
      </c>
      <c r="F39" s="24">
        <v>32000</v>
      </c>
      <c r="G39" s="25" t="s">
        <v>11</v>
      </c>
      <c r="H39" s="26" t="s">
        <v>215</v>
      </c>
    </row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H2" r:id="rId1" xr:uid="{CD7F5821-FFFC-49DB-9B12-BDA5F80672AA}"/>
    <hyperlink ref="H3" r:id="rId2" xr:uid="{090B27B4-F71C-4BC6-ADD3-D32947B4DA20}"/>
    <hyperlink ref="H4" r:id="rId3" xr:uid="{9ECBA4EE-9A9F-4529-A508-40F4C3BAAFEE}"/>
    <hyperlink ref="H5" r:id="rId4" xr:uid="{8965F1B2-6B77-47AB-8FF8-730FFF281E3F}"/>
    <hyperlink ref="H6" r:id="rId5" xr:uid="{67B2A504-CB6B-4E59-9A1B-EE56CFFB633F}"/>
    <hyperlink ref="H7" r:id="rId6" xr:uid="{550DCD45-E2FF-4100-9E37-8F8821387666}"/>
    <hyperlink ref="H8" r:id="rId7" xr:uid="{EE35C2F4-12CB-486B-98FE-5CEA3D29E0D0}"/>
    <hyperlink ref="H9" r:id="rId8" xr:uid="{35454109-DDC4-4FD6-9C07-EDD2E26EF2DE}"/>
    <hyperlink ref="H10" r:id="rId9" xr:uid="{F3A286F1-0E1A-4397-87B5-A7D242D16EC2}"/>
    <hyperlink ref="H11" r:id="rId10" xr:uid="{1A4C8547-904D-4148-99C0-51C9A2690C53}"/>
    <hyperlink ref="H12" r:id="rId11" xr:uid="{F90E2539-B53E-4C85-AA15-BF1E29B8F4FA}"/>
    <hyperlink ref="H13" r:id="rId12" xr:uid="{08C01659-0393-4C43-8451-EE5203D4FDD5}"/>
    <hyperlink ref="H14" r:id="rId13" xr:uid="{D6155272-0C5B-4601-9970-8DFED32E0ADF}"/>
    <hyperlink ref="H15" r:id="rId14" xr:uid="{C26FB94A-B498-4A1C-AF20-FFC8EF4A12D1}"/>
    <hyperlink ref="H16" r:id="rId15" xr:uid="{27CDB373-C9EA-451E-93AB-966599828E92}"/>
    <hyperlink ref="H17" r:id="rId16" xr:uid="{785621AF-A190-4945-BB4F-E81F5B495992}"/>
    <hyperlink ref="H18" r:id="rId17" xr:uid="{76B75701-4092-4C80-B19A-BFA471F6AE6F}"/>
    <hyperlink ref="H19" r:id="rId18" xr:uid="{78A17021-CF21-4140-88AF-669DCFC80D21}"/>
    <hyperlink ref="H20" r:id="rId19" xr:uid="{EC5AAD95-D286-4E0C-9A7A-E4DB9DFA6B3F}"/>
    <hyperlink ref="H21" r:id="rId20" xr:uid="{82471558-6DF0-44BE-8D62-956668547208}"/>
    <hyperlink ref="H22" r:id="rId21" xr:uid="{1885D8A0-728E-4A6F-B49B-C3A808135AD0}"/>
    <hyperlink ref="H23" r:id="rId22" xr:uid="{DBE23F5E-9431-4963-AB76-29A6EDFF19DF}"/>
    <hyperlink ref="H24" r:id="rId23" xr:uid="{A6794D53-A1F9-449D-B585-4CC55F0C6E99}"/>
    <hyperlink ref="H25" r:id="rId24" xr:uid="{06955964-4E5E-4CBF-BEC6-E683FE0CCACD}"/>
    <hyperlink ref="H26" r:id="rId25" xr:uid="{95D27D6B-86F6-4CB6-B2C6-4094D0710E6A}"/>
    <hyperlink ref="H27" r:id="rId26" xr:uid="{D5E4C152-E497-440B-A72C-D7DBF699F7D8}"/>
    <hyperlink ref="H28" r:id="rId27" xr:uid="{D6D661F1-7812-4019-A29A-5C1ACF912FBB}"/>
    <hyperlink ref="H29" r:id="rId28" xr:uid="{BD476C4F-DB25-42C5-B636-74F495D0E638}"/>
    <hyperlink ref="H30" r:id="rId29" xr:uid="{FDC4B9F8-3ADC-4B52-8D48-3A0FF8FFB499}"/>
    <hyperlink ref="H31" r:id="rId30" xr:uid="{9E9C5E25-EB0A-4F11-A5FF-125FFDED9E80}"/>
    <hyperlink ref="H32" r:id="rId31" xr:uid="{3218D006-EB3D-4EE1-8603-932D2547BF44}"/>
    <hyperlink ref="H33" r:id="rId32" xr:uid="{13A2DA47-1C7B-41D1-A15C-BCAFA7394C42}"/>
    <hyperlink ref="H34" r:id="rId33" xr:uid="{713EB2DD-27E2-4C5F-926C-7A3E3A664EAC}"/>
    <hyperlink ref="H35" r:id="rId34" xr:uid="{B5424908-6BFF-44C8-850A-0E0769C0216A}"/>
    <hyperlink ref="H36" r:id="rId35" xr:uid="{66C89FC7-2194-4F2C-A185-3A9F66A59BEA}"/>
    <hyperlink ref="H37" r:id="rId36" xr:uid="{CCACF96A-A8BE-4F2A-8D4B-2EF75B3388DE}"/>
    <hyperlink ref="H38" r:id="rId37" xr:uid="{C628C721-E346-4AF2-802C-FDEAB0837AAC}"/>
    <hyperlink ref="H39" r:id="rId38" xr:uid="{23A19111-0FEC-4BFA-9BC7-F2348DDE9C65}"/>
  </hyperlinks>
  <pageMargins left="0.7" right="0.7" top="0.75" bottom="0.75" header="0" footer="0"/>
  <pageSetup orientation="landscape"/>
  <tableParts count="1">
    <tablePart r:id="rId3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81"/>
  <sheetViews>
    <sheetView topLeftCell="A46" workbookViewId="0"/>
  </sheetViews>
  <sheetFormatPr baseColWidth="10" defaultColWidth="12.5703125" defaultRowHeight="15" customHeight="1"/>
  <cols>
    <col min="2" max="2" width="23.42578125" customWidth="1"/>
    <col min="8" max="8" width="128.5703125" customWidth="1"/>
  </cols>
  <sheetData>
    <row r="1" spans="1:10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/>
      <c r="J1" s="2"/>
    </row>
    <row r="2" spans="1:10">
      <c r="A2" s="3">
        <v>1</v>
      </c>
      <c r="B2" s="2" t="s">
        <v>95</v>
      </c>
      <c r="C2" s="3">
        <v>10036</v>
      </c>
      <c r="D2" s="4">
        <v>6500</v>
      </c>
      <c r="E2" s="4">
        <f>D2*12</f>
        <v>78000</v>
      </c>
      <c r="F2" s="5">
        <v>9725</v>
      </c>
      <c r="G2" s="4">
        <f>(D2*12)/F2</f>
        <v>8.0205655526992281</v>
      </c>
      <c r="H2" s="6" t="s">
        <v>96</v>
      </c>
      <c r="I2" s="2"/>
      <c r="J2" s="2"/>
    </row>
    <row r="3" spans="1:10">
      <c r="A3" s="3">
        <v>2</v>
      </c>
      <c r="B3" s="2" t="s">
        <v>95</v>
      </c>
      <c r="C3" s="3">
        <v>10036</v>
      </c>
      <c r="D3" s="4">
        <f t="shared" ref="D3:D25" si="0">E3/12</f>
        <v>13000</v>
      </c>
      <c r="E3" s="4">
        <f t="shared" ref="E3:E25" si="1">F3*G3</f>
        <v>156000</v>
      </c>
      <c r="F3" s="7">
        <v>2500</v>
      </c>
      <c r="G3" s="4">
        <v>62.4</v>
      </c>
      <c r="H3" s="6" t="s">
        <v>97</v>
      </c>
      <c r="I3" s="2"/>
      <c r="J3" s="2"/>
    </row>
    <row r="4" spans="1:10">
      <c r="A4" s="3">
        <v>3</v>
      </c>
      <c r="B4" s="2" t="s">
        <v>95</v>
      </c>
      <c r="C4" s="3">
        <v>10036</v>
      </c>
      <c r="D4" s="4">
        <f t="shared" si="0"/>
        <v>38471.008333333331</v>
      </c>
      <c r="E4" s="4">
        <f t="shared" si="1"/>
        <v>461652.1</v>
      </c>
      <c r="F4" s="8">
        <v>6790</v>
      </c>
      <c r="G4" s="4">
        <v>67.989999999999995</v>
      </c>
      <c r="H4" s="6" t="s">
        <v>98</v>
      </c>
      <c r="I4" s="2"/>
      <c r="J4" s="2"/>
    </row>
    <row r="5" spans="1:10">
      <c r="A5" s="3">
        <v>4</v>
      </c>
      <c r="B5" s="2" t="s">
        <v>95</v>
      </c>
      <c r="C5" s="3">
        <v>10036</v>
      </c>
      <c r="D5" s="4">
        <f t="shared" si="0"/>
        <v>26000</v>
      </c>
      <c r="E5" s="4">
        <f t="shared" si="1"/>
        <v>312000</v>
      </c>
      <c r="F5" s="8">
        <v>1500</v>
      </c>
      <c r="G5" s="4">
        <v>208</v>
      </c>
      <c r="H5" s="6" t="s">
        <v>99</v>
      </c>
      <c r="I5" s="2"/>
      <c r="J5" s="2"/>
    </row>
    <row r="6" spans="1:10">
      <c r="A6" s="3">
        <v>5</v>
      </c>
      <c r="B6" s="2" t="s">
        <v>95</v>
      </c>
      <c r="C6" s="3">
        <v>10019</v>
      </c>
      <c r="D6" s="4">
        <f t="shared" si="0"/>
        <v>15000</v>
      </c>
      <c r="E6" s="4">
        <f t="shared" si="1"/>
        <v>180000</v>
      </c>
      <c r="F6" s="9">
        <v>1000</v>
      </c>
      <c r="G6" s="4">
        <v>180</v>
      </c>
      <c r="H6" s="6" t="s">
        <v>100</v>
      </c>
      <c r="I6" s="2"/>
      <c r="J6" s="2"/>
    </row>
    <row r="7" spans="1:10">
      <c r="A7" s="3">
        <v>6</v>
      </c>
      <c r="B7" s="2" t="s">
        <v>95</v>
      </c>
      <c r="C7" s="3">
        <v>10019</v>
      </c>
      <c r="D7" s="4">
        <f t="shared" si="0"/>
        <v>36000</v>
      </c>
      <c r="E7" s="4">
        <f t="shared" si="1"/>
        <v>432000</v>
      </c>
      <c r="F7" s="8">
        <v>5000</v>
      </c>
      <c r="G7" s="4">
        <v>86.4</v>
      </c>
      <c r="H7" s="6" t="s">
        <v>101</v>
      </c>
      <c r="I7" s="2"/>
      <c r="J7" s="2"/>
    </row>
    <row r="8" spans="1:10">
      <c r="A8" s="3">
        <v>7</v>
      </c>
      <c r="B8" s="2" t="s">
        <v>95</v>
      </c>
      <c r="C8" s="3">
        <v>10019</v>
      </c>
      <c r="D8" s="4">
        <f t="shared" si="0"/>
        <v>8662.5</v>
      </c>
      <c r="E8" s="4">
        <f t="shared" si="1"/>
        <v>103950</v>
      </c>
      <c r="F8" s="8">
        <v>1650</v>
      </c>
      <c r="G8" s="4">
        <v>63</v>
      </c>
      <c r="H8" s="6" t="s">
        <v>102</v>
      </c>
      <c r="I8" s="2"/>
      <c r="J8" s="2"/>
    </row>
    <row r="9" spans="1:10">
      <c r="A9" s="3">
        <v>8</v>
      </c>
      <c r="B9" s="2" t="s">
        <v>95</v>
      </c>
      <c r="C9" s="3">
        <v>10019</v>
      </c>
      <c r="D9" s="4">
        <f t="shared" si="0"/>
        <v>24999.75</v>
      </c>
      <c r="E9" s="4">
        <f t="shared" si="1"/>
        <v>299997</v>
      </c>
      <c r="F9" s="3">
        <v>900</v>
      </c>
      <c r="G9" s="4">
        <v>333.33</v>
      </c>
      <c r="H9" s="6" t="s">
        <v>103</v>
      </c>
      <c r="I9" s="2"/>
      <c r="J9" s="2"/>
    </row>
    <row r="10" spans="1:10">
      <c r="A10" s="3">
        <v>9</v>
      </c>
      <c r="B10" s="2" t="s">
        <v>12</v>
      </c>
      <c r="C10" s="3">
        <v>10007</v>
      </c>
      <c r="D10" s="4">
        <f t="shared" si="0"/>
        <v>14501.666666666666</v>
      </c>
      <c r="E10" s="4">
        <f t="shared" si="1"/>
        <v>174020</v>
      </c>
      <c r="F10" s="9">
        <v>5500</v>
      </c>
      <c r="G10" s="4">
        <v>31.64</v>
      </c>
      <c r="H10" s="6" t="s">
        <v>104</v>
      </c>
      <c r="I10" s="2"/>
      <c r="J10" s="2"/>
    </row>
    <row r="11" spans="1:10">
      <c r="A11" s="3">
        <v>10</v>
      </c>
      <c r="B11" s="2" t="s">
        <v>12</v>
      </c>
      <c r="C11" s="3">
        <v>10007</v>
      </c>
      <c r="D11" s="4">
        <f t="shared" si="0"/>
        <v>30468.75</v>
      </c>
      <c r="E11" s="4">
        <f t="shared" si="1"/>
        <v>365625</v>
      </c>
      <c r="F11" s="8">
        <v>1875</v>
      </c>
      <c r="G11" s="4">
        <v>195</v>
      </c>
      <c r="H11" s="6" t="s">
        <v>105</v>
      </c>
      <c r="I11" s="2"/>
      <c r="J11" s="2"/>
    </row>
    <row r="12" spans="1:10">
      <c r="A12" s="3">
        <v>11</v>
      </c>
      <c r="B12" s="2" t="s">
        <v>12</v>
      </c>
      <c r="C12" s="3">
        <v>10038</v>
      </c>
      <c r="D12" s="4">
        <f t="shared" si="0"/>
        <v>8895.8333333333339</v>
      </c>
      <c r="E12" s="4">
        <f t="shared" si="1"/>
        <v>106750</v>
      </c>
      <c r="F12" s="8">
        <v>1750</v>
      </c>
      <c r="G12" s="4">
        <v>61</v>
      </c>
      <c r="H12" s="6" t="s">
        <v>106</v>
      </c>
      <c r="I12" s="2"/>
      <c r="J12" s="2"/>
    </row>
    <row r="13" spans="1:10">
      <c r="A13" s="3">
        <v>12</v>
      </c>
      <c r="B13" s="2" t="s">
        <v>12</v>
      </c>
      <c r="C13" s="3">
        <v>10038</v>
      </c>
      <c r="D13" s="4">
        <f t="shared" si="0"/>
        <v>8000</v>
      </c>
      <c r="E13" s="4">
        <f t="shared" si="1"/>
        <v>96000</v>
      </c>
      <c r="F13" s="3">
        <v>1200</v>
      </c>
      <c r="G13" s="4">
        <v>80</v>
      </c>
      <c r="H13" s="6" t="s">
        <v>107</v>
      </c>
      <c r="I13" s="2"/>
      <c r="J13" s="2"/>
    </row>
    <row r="14" spans="1:10">
      <c r="A14" s="3">
        <v>13</v>
      </c>
      <c r="B14" s="2" t="s">
        <v>15</v>
      </c>
      <c r="C14" s="3">
        <v>10007</v>
      </c>
      <c r="D14" s="4">
        <f t="shared" si="0"/>
        <v>85962.5</v>
      </c>
      <c r="E14" s="4">
        <f t="shared" si="1"/>
        <v>1031550</v>
      </c>
      <c r="F14" s="5">
        <v>5290</v>
      </c>
      <c r="G14" s="4">
        <v>195</v>
      </c>
      <c r="H14" s="6" t="s">
        <v>108</v>
      </c>
      <c r="I14" s="2"/>
      <c r="J14" s="2"/>
    </row>
    <row r="15" spans="1:10">
      <c r="A15" s="3">
        <v>14</v>
      </c>
      <c r="B15" s="2" t="s">
        <v>15</v>
      </c>
      <c r="C15" s="3">
        <v>10007</v>
      </c>
      <c r="D15" s="4">
        <f t="shared" si="0"/>
        <v>1383</v>
      </c>
      <c r="E15" s="4">
        <f t="shared" si="1"/>
        <v>16596</v>
      </c>
      <c r="F15" s="8">
        <v>461</v>
      </c>
      <c r="G15" s="4">
        <v>36</v>
      </c>
      <c r="H15" s="6" t="s">
        <v>109</v>
      </c>
      <c r="I15" s="2"/>
      <c r="J15" s="2"/>
    </row>
    <row r="16" spans="1:10">
      <c r="A16" s="3">
        <v>15</v>
      </c>
      <c r="B16" s="2" t="s">
        <v>15</v>
      </c>
      <c r="C16" s="3">
        <v>10013</v>
      </c>
      <c r="D16" s="4">
        <f t="shared" si="0"/>
        <v>13499.75</v>
      </c>
      <c r="E16" s="4">
        <f t="shared" si="1"/>
        <v>161997</v>
      </c>
      <c r="F16" s="8">
        <v>1100</v>
      </c>
      <c r="G16" s="4">
        <v>147.27000000000001</v>
      </c>
      <c r="H16" s="6" t="s">
        <v>110</v>
      </c>
      <c r="I16" s="2"/>
      <c r="J16" s="2"/>
    </row>
    <row r="17" spans="1:10">
      <c r="A17" s="3">
        <v>16</v>
      </c>
      <c r="B17" s="2" t="s">
        <v>15</v>
      </c>
      <c r="C17" s="3">
        <v>10013</v>
      </c>
      <c r="D17" s="4">
        <f t="shared" si="0"/>
        <v>28000</v>
      </c>
      <c r="E17" s="4">
        <f t="shared" si="1"/>
        <v>336000</v>
      </c>
      <c r="F17" s="8">
        <v>2500</v>
      </c>
      <c r="G17" s="4">
        <v>134.4</v>
      </c>
      <c r="H17" s="6" t="s">
        <v>111</v>
      </c>
      <c r="I17" s="2"/>
      <c r="J17" s="2"/>
    </row>
    <row r="18" spans="1:10">
      <c r="A18" s="3">
        <v>17</v>
      </c>
      <c r="B18" s="2" t="s">
        <v>15</v>
      </c>
      <c r="C18" s="3">
        <v>10013</v>
      </c>
      <c r="D18" s="4">
        <f t="shared" si="0"/>
        <v>35000.945</v>
      </c>
      <c r="E18" s="4">
        <f t="shared" si="1"/>
        <v>420011.33999999997</v>
      </c>
      <c r="F18" s="8">
        <v>4161</v>
      </c>
      <c r="G18" s="4">
        <v>100.94</v>
      </c>
      <c r="H18" s="6" t="s">
        <v>112</v>
      </c>
      <c r="I18" s="2"/>
      <c r="J18" s="2"/>
    </row>
    <row r="19" spans="1:10">
      <c r="A19" s="3">
        <v>18</v>
      </c>
      <c r="B19" s="2" t="s">
        <v>19</v>
      </c>
      <c r="C19" s="3">
        <v>10012</v>
      </c>
      <c r="D19" s="4">
        <f t="shared" si="0"/>
        <v>29605</v>
      </c>
      <c r="E19" s="4">
        <f t="shared" si="1"/>
        <v>355260</v>
      </c>
      <c r="F19" s="8">
        <v>1500</v>
      </c>
      <c r="G19" s="4">
        <v>236.84</v>
      </c>
      <c r="H19" s="6" t="s">
        <v>113</v>
      </c>
      <c r="I19" s="2"/>
      <c r="J19" s="2"/>
    </row>
    <row r="20" spans="1:10">
      <c r="A20" s="3">
        <v>19</v>
      </c>
      <c r="B20" s="2" t="s">
        <v>19</v>
      </c>
      <c r="C20" s="3">
        <v>10012</v>
      </c>
      <c r="D20" s="4">
        <f t="shared" si="0"/>
        <v>33000</v>
      </c>
      <c r="E20" s="4">
        <f t="shared" si="1"/>
        <v>396000</v>
      </c>
      <c r="F20" s="8">
        <v>2200</v>
      </c>
      <c r="G20" s="4">
        <v>180</v>
      </c>
      <c r="H20" s="6" t="s">
        <v>114</v>
      </c>
      <c r="I20" s="2"/>
      <c r="J20" s="2"/>
    </row>
    <row r="21" spans="1:10">
      <c r="A21" s="3">
        <v>20</v>
      </c>
      <c r="B21" s="2" t="s">
        <v>19</v>
      </c>
      <c r="C21" s="3">
        <v>10012</v>
      </c>
      <c r="D21" s="4">
        <f t="shared" si="0"/>
        <v>8352.5</v>
      </c>
      <c r="E21" s="4">
        <f t="shared" si="1"/>
        <v>100230</v>
      </c>
      <c r="F21" s="3">
        <v>514</v>
      </c>
      <c r="G21" s="4">
        <v>195</v>
      </c>
      <c r="H21" s="6" t="s">
        <v>115</v>
      </c>
      <c r="I21" s="2"/>
      <c r="J21" s="2"/>
    </row>
    <row r="22" spans="1:10">
      <c r="A22" s="3">
        <v>21</v>
      </c>
      <c r="B22" s="2" t="s">
        <v>19</v>
      </c>
      <c r="C22" s="3">
        <v>10012</v>
      </c>
      <c r="D22" s="4">
        <f t="shared" si="0"/>
        <v>22134.755000000001</v>
      </c>
      <c r="E22" s="4">
        <f t="shared" si="1"/>
        <v>265617.06</v>
      </c>
      <c r="F22" s="8">
        <v>1621</v>
      </c>
      <c r="G22" s="4">
        <v>163.86</v>
      </c>
      <c r="H22" s="6" t="s">
        <v>116</v>
      </c>
      <c r="I22" s="2"/>
      <c r="J22" s="2"/>
    </row>
    <row r="23" spans="1:10">
      <c r="A23" s="3">
        <v>22</v>
      </c>
      <c r="B23" s="2" t="s">
        <v>19</v>
      </c>
      <c r="C23" s="3">
        <v>10012</v>
      </c>
      <c r="D23" s="4">
        <f t="shared" si="0"/>
        <v>36875</v>
      </c>
      <c r="E23" s="4">
        <f t="shared" si="1"/>
        <v>442500</v>
      </c>
      <c r="F23" s="8">
        <v>2500</v>
      </c>
      <c r="G23" s="4">
        <v>177</v>
      </c>
      <c r="H23" s="6" t="s">
        <v>117</v>
      </c>
      <c r="I23" s="2"/>
      <c r="J23" s="2"/>
    </row>
    <row r="24" spans="1:10">
      <c r="A24" s="3">
        <v>23</v>
      </c>
      <c r="B24" s="2" t="s">
        <v>23</v>
      </c>
      <c r="C24" s="3">
        <v>10014</v>
      </c>
      <c r="D24" s="4">
        <f t="shared" si="0"/>
        <v>15000</v>
      </c>
      <c r="E24" s="4">
        <f t="shared" si="1"/>
        <v>180000</v>
      </c>
      <c r="F24" s="8">
        <v>1200</v>
      </c>
      <c r="G24" s="4">
        <v>150</v>
      </c>
      <c r="H24" s="6" t="s">
        <v>118</v>
      </c>
      <c r="I24" s="2"/>
      <c r="J24" s="2"/>
    </row>
    <row r="25" spans="1:10">
      <c r="A25" s="3">
        <v>24</v>
      </c>
      <c r="B25" s="2" t="s">
        <v>23</v>
      </c>
      <c r="C25" s="3">
        <v>10014</v>
      </c>
      <c r="D25" s="4">
        <f t="shared" si="0"/>
        <v>24033.333333333332</v>
      </c>
      <c r="E25" s="4">
        <f t="shared" si="1"/>
        <v>288400</v>
      </c>
      <c r="F25" s="8">
        <v>1400</v>
      </c>
      <c r="G25" s="4">
        <v>206</v>
      </c>
      <c r="H25" s="6" t="s">
        <v>119</v>
      </c>
      <c r="I25" s="2"/>
      <c r="J25" s="2"/>
    </row>
    <row r="26" spans="1:10">
      <c r="A26" s="3">
        <v>25</v>
      </c>
      <c r="B26" s="2" t="s">
        <v>23</v>
      </c>
      <c r="C26" s="3">
        <v>10014</v>
      </c>
      <c r="D26" s="4">
        <v>18000</v>
      </c>
      <c r="E26" s="4">
        <f>D26*12</f>
        <v>216000</v>
      </c>
      <c r="F26" s="8">
        <v>1535</v>
      </c>
      <c r="G26" s="4">
        <f>E26/F26</f>
        <v>140.71661237785017</v>
      </c>
      <c r="H26" s="6" t="s">
        <v>120</v>
      </c>
      <c r="I26" s="2"/>
      <c r="J26" s="2"/>
    </row>
    <row r="27" spans="1:10">
      <c r="A27" s="3">
        <v>26</v>
      </c>
      <c r="B27" s="2" t="s">
        <v>23</v>
      </c>
      <c r="C27" s="3">
        <v>10014</v>
      </c>
      <c r="D27" s="4">
        <f>E27/12</f>
        <v>83102.5</v>
      </c>
      <c r="E27" s="4">
        <f>F27*G27</f>
        <v>997230</v>
      </c>
      <c r="F27" s="8">
        <v>2557</v>
      </c>
      <c r="G27" s="4">
        <v>390</v>
      </c>
      <c r="H27" s="6" t="s">
        <v>121</v>
      </c>
      <c r="I27" s="2"/>
      <c r="J27" s="2"/>
    </row>
    <row r="28" spans="1:10">
      <c r="A28" s="3">
        <v>27</v>
      </c>
      <c r="B28" s="2" t="s">
        <v>23</v>
      </c>
      <c r="C28" s="3">
        <v>10014</v>
      </c>
      <c r="D28" s="4">
        <v>15000</v>
      </c>
      <c r="E28" s="4">
        <f>D28*12</f>
        <v>180000</v>
      </c>
      <c r="F28" s="8">
        <v>2608</v>
      </c>
      <c r="G28" s="4">
        <f>F28/12</f>
        <v>217.33333333333334</v>
      </c>
      <c r="H28" s="6" t="s">
        <v>119</v>
      </c>
      <c r="I28" s="2"/>
      <c r="J28" s="2"/>
    </row>
    <row r="29" spans="1:10">
      <c r="A29" s="3">
        <v>28</v>
      </c>
      <c r="B29" s="2" t="s">
        <v>27</v>
      </c>
      <c r="C29" s="3">
        <v>10003</v>
      </c>
      <c r="D29" s="4">
        <f t="shared" ref="D29:D43" si="2">E29/12</f>
        <v>42000</v>
      </c>
      <c r="E29" s="4">
        <f t="shared" ref="E29:E43" si="3">F29*G29</f>
        <v>504000</v>
      </c>
      <c r="F29" s="8">
        <v>1800</v>
      </c>
      <c r="G29" s="4">
        <v>280</v>
      </c>
      <c r="H29" s="6" t="s">
        <v>122</v>
      </c>
      <c r="I29" s="2"/>
      <c r="J29" s="2"/>
    </row>
    <row r="30" spans="1:10">
      <c r="A30" s="3">
        <v>29</v>
      </c>
      <c r="B30" s="2" t="s">
        <v>27</v>
      </c>
      <c r="C30" s="3">
        <v>10003</v>
      </c>
      <c r="D30" s="4">
        <f t="shared" si="2"/>
        <v>14998.833333333334</v>
      </c>
      <c r="E30" s="4">
        <f t="shared" si="3"/>
        <v>179986</v>
      </c>
      <c r="F30" s="8">
        <v>1550</v>
      </c>
      <c r="G30" s="4">
        <v>116.12</v>
      </c>
      <c r="H30" s="6" t="s">
        <v>123</v>
      </c>
      <c r="I30" s="2"/>
      <c r="J30" s="2"/>
    </row>
    <row r="31" spans="1:10">
      <c r="A31" s="3">
        <v>30</v>
      </c>
      <c r="B31" s="2" t="s">
        <v>27</v>
      </c>
      <c r="C31" s="3">
        <v>10003</v>
      </c>
      <c r="D31" s="4">
        <f t="shared" si="2"/>
        <v>14500</v>
      </c>
      <c r="E31" s="4">
        <f t="shared" si="3"/>
        <v>174000</v>
      </c>
      <c r="F31" s="3">
        <v>2000</v>
      </c>
      <c r="G31" s="4">
        <v>87</v>
      </c>
      <c r="H31" s="6" t="s">
        <v>124</v>
      </c>
      <c r="I31" s="2"/>
      <c r="J31" s="2"/>
    </row>
    <row r="32" spans="1:10">
      <c r="A32" s="3">
        <v>31</v>
      </c>
      <c r="B32" s="2" t="s">
        <v>27</v>
      </c>
      <c r="C32" s="3">
        <v>10003</v>
      </c>
      <c r="D32" s="4">
        <f t="shared" si="2"/>
        <v>19950</v>
      </c>
      <c r="E32" s="4">
        <f t="shared" si="3"/>
        <v>239400</v>
      </c>
      <c r="F32" s="3">
        <v>3000</v>
      </c>
      <c r="G32" s="4">
        <v>79.8</v>
      </c>
      <c r="H32" s="6" t="s">
        <v>125</v>
      </c>
      <c r="I32" s="2"/>
      <c r="J32" s="2"/>
    </row>
    <row r="33" spans="1:10">
      <c r="A33" s="3">
        <v>32</v>
      </c>
      <c r="B33" s="2" t="s">
        <v>27</v>
      </c>
      <c r="C33" s="3">
        <v>10003</v>
      </c>
      <c r="D33" s="4">
        <f t="shared" si="2"/>
        <v>93350</v>
      </c>
      <c r="E33" s="4">
        <f t="shared" si="3"/>
        <v>1120200</v>
      </c>
      <c r="F33" s="8">
        <v>14936</v>
      </c>
      <c r="G33" s="4">
        <v>75</v>
      </c>
      <c r="H33" s="6" t="s">
        <v>126</v>
      </c>
      <c r="I33" s="2"/>
      <c r="J33" s="2"/>
    </row>
    <row r="34" spans="1:10">
      <c r="A34" s="3">
        <v>33</v>
      </c>
      <c r="B34" s="2" t="s">
        <v>31</v>
      </c>
      <c r="C34" s="3">
        <v>10002</v>
      </c>
      <c r="D34" s="4">
        <f t="shared" si="2"/>
        <v>6500</v>
      </c>
      <c r="E34" s="4">
        <f t="shared" si="3"/>
        <v>78000</v>
      </c>
      <c r="F34" s="3">
        <v>500</v>
      </c>
      <c r="G34" s="4">
        <v>156</v>
      </c>
      <c r="H34" s="6" t="s">
        <v>127</v>
      </c>
      <c r="I34" s="2"/>
      <c r="J34" s="2"/>
    </row>
    <row r="35" spans="1:10">
      <c r="A35" s="3">
        <v>34</v>
      </c>
      <c r="B35" s="2" t="s">
        <v>31</v>
      </c>
      <c r="C35" s="3">
        <v>10002</v>
      </c>
      <c r="D35" s="4">
        <f t="shared" si="2"/>
        <v>24500</v>
      </c>
      <c r="E35" s="4">
        <f t="shared" si="3"/>
        <v>294000</v>
      </c>
      <c r="F35" s="3">
        <v>3000</v>
      </c>
      <c r="G35" s="4">
        <v>98</v>
      </c>
      <c r="H35" s="6" t="s">
        <v>128</v>
      </c>
      <c r="I35" s="2"/>
      <c r="J35" s="2"/>
    </row>
    <row r="36" spans="1:10">
      <c r="A36" s="3">
        <v>35</v>
      </c>
      <c r="B36" s="2" t="s">
        <v>31</v>
      </c>
      <c r="C36" s="3">
        <v>10002</v>
      </c>
      <c r="D36" s="4">
        <f t="shared" si="2"/>
        <v>5159.375</v>
      </c>
      <c r="E36" s="4">
        <f t="shared" si="3"/>
        <v>61912.5</v>
      </c>
      <c r="F36" s="8">
        <v>635</v>
      </c>
      <c r="G36" s="4">
        <v>97.5</v>
      </c>
      <c r="H36" s="6" t="s">
        <v>129</v>
      </c>
      <c r="I36" s="2"/>
      <c r="J36" s="2"/>
    </row>
    <row r="37" spans="1:10">
      <c r="A37" s="3">
        <v>36</v>
      </c>
      <c r="B37" s="2" t="s">
        <v>31</v>
      </c>
      <c r="C37" s="3">
        <v>10002</v>
      </c>
      <c r="D37" s="4">
        <f t="shared" si="2"/>
        <v>5683.333333333333</v>
      </c>
      <c r="E37" s="4">
        <f t="shared" si="3"/>
        <v>68200</v>
      </c>
      <c r="F37" s="3">
        <v>620</v>
      </c>
      <c r="G37" s="4">
        <v>110</v>
      </c>
      <c r="H37" s="6" t="s">
        <v>129</v>
      </c>
      <c r="I37" s="2"/>
      <c r="J37" s="2"/>
    </row>
    <row r="38" spans="1:10">
      <c r="A38" s="3">
        <v>37</v>
      </c>
      <c r="B38" s="2" t="s">
        <v>31</v>
      </c>
      <c r="C38" s="3">
        <v>10002</v>
      </c>
      <c r="D38" s="4">
        <f t="shared" si="2"/>
        <v>6500</v>
      </c>
      <c r="E38" s="4">
        <f t="shared" si="3"/>
        <v>78000</v>
      </c>
      <c r="F38" s="3">
        <v>1000</v>
      </c>
      <c r="G38" s="4">
        <v>78</v>
      </c>
      <c r="H38" s="10" t="s">
        <v>130</v>
      </c>
      <c r="I38" s="2"/>
      <c r="J38" s="2"/>
    </row>
    <row r="39" spans="1:10">
      <c r="A39" s="3">
        <v>38</v>
      </c>
      <c r="B39" s="2" t="s">
        <v>35</v>
      </c>
      <c r="C39" s="3">
        <v>10038</v>
      </c>
      <c r="D39" s="4">
        <f t="shared" si="2"/>
        <v>8000</v>
      </c>
      <c r="E39" s="4">
        <f t="shared" si="3"/>
        <v>96000</v>
      </c>
      <c r="F39" s="8">
        <v>1200</v>
      </c>
      <c r="G39" s="4">
        <v>80</v>
      </c>
      <c r="H39" s="6" t="s">
        <v>107</v>
      </c>
      <c r="I39" s="2"/>
      <c r="J39" s="2"/>
    </row>
    <row r="40" spans="1:10">
      <c r="A40" s="3">
        <v>39</v>
      </c>
      <c r="B40" s="2" t="s">
        <v>35</v>
      </c>
      <c r="C40" s="3">
        <v>10038</v>
      </c>
      <c r="D40" s="4">
        <f t="shared" si="2"/>
        <v>8895.8333333333339</v>
      </c>
      <c r="E40" s="4">
        <f t="shared" si="3"/>
        <v>106750</v>
      </c>
      <c r="F40" s="8">
        <v>1750</v>
      </c>
      <c r="G40" s="4">
        <v>61</v>
      </c>
      <c r="H40" s="10" t="s">
        <v>106</v>
      </c>
      <c r="I40" s="2"/>
      <c r="J40" s="2"/>
    </row>
    <row r="41" spans="1:10">
      <c r="A41" s="3">
        <v>40</v>
      </c>
      <c r="B41" s="2" t="s">
        <v>35</v>
      </c>
      <c r="C41" s="3">
        <v>10038</v>
      </c>
      <c r="D41" s="4">
        <f t="shared" si="2"/>
        <v>15000</v>
      </c>
      <c r="E41" s="4">
        <f t="shared" si="3"/>
        <v>180000</v>
      </c>
      <c r="F41" s="8">
        <v>6000</v>
      </c>
      <c r="G41" s="4">
        <v>30</v>
      </c>
      <c r="H41" s="6" t="s">
        <v>131</v>
      </c>
      <c r="I41" s="2"/>
      <c r="J41" s="2"/>
    </row>
    <row r="42" spans="1:10">
      <c r="A42" s="3">
        <v>41</v>
      </c>
      <c r="B42" s="2" t="s">
        <v>35</v>
      </c>
      <c r="C42" s="3">
        <v>10038</v>
      </c>
      <c r="D42" s="4">
        <f t="shared" si="2"/>
        <v>19583.333333333332</v>
      </c>
      <c r="E42" s="4">
        <f t="shared" si="3"/>
        <v>235000</v>
      </c>
      <c r="F42" s="8">
        <v>2350</v>
      </c>
      <c r="G42" s="4">
        <v>100</v>
      </c>
      <c r="H42" s="6" t="s">
        <v>132</v>
      </c>
      <c r="I42" s="2"/>
      <c r="J42" s="2"/>
    </row>
    <row r="43" spans="1:10">
      <c r="A43" s="3">
        <v>42</v>
      </c>
      <c r="B43" s="2" t="s">
        <v>35</v>
      </c>
      <c r="C43" s="3">
        <v>10038</v>
      </c>
      <c r="D43" s="4">
        <f t="shared" si="2"/>
        <v>8550</v>
      </c>
      <c r="E43" s="4">
        <f t="shared" si="3"/>
        <v>102600</v>
      </c>
      <c r="F43" s="8">
        <v>2700</v>
      </c>
      <c r="G43" s="4">
        <v>38</v>
      </c>
      <c r="H43" s="6" t="s">
        <v>132</v>
      </c>
      <c r="I43" s="2"/>
      <c r="J43" s="2"/>
    </row>
    <row r="44" spans="1:10">
      <c r="A44" s="3">
        <v>43</v>
      </c>
      <c r="B44" s="2" t="s">
        <v>39</v>
      </c>
      <c r="C44" s="3">
        <v>10001</v>
      </c>
      <c r="D44" s="4">
        <v>5900</v>
      </c>
      <c r="E44" s="4">
        <f t="shared" ref="E44:E45" si="4">D44*12</f>
        <v>70800</v>
      </c>
      <c r="F44" s="8">
        <v>1800</v>
      </c>
      <c r="G44" s="4">
        <f t="shared" ref="G44:G45" si="5">E44/F44</f>
        <v>39.333333333333336</v>
      </c>
      <c r="H44" s="6" t="s">
        <v>133</v>
      </c>
      <c r="I44" s="2"/>
      <c r="J44" s="2"/>
    </row>
    <row r="45" spans="1:10">
      <c r="A45" s="3">
        <v>44</v>
      </c>
      <c r="B45" s="2" t="s">
        <v>39</v>
      </c>
      <c r="C45" s="3">
        <v>10001</v>
      </c>
      <c r="D45" s="4">
        <v>7500</v>
      </c>
      <c r="E45" s="4">
        <f t="shared" si="4"/>
        <v>90000</v>
      </c>
      <c r="F45" s="8">
        <v>850</v>
      </c>
      <c r="G45" s="4">
        <f t="shared" si="5"/>
        <v>105.88235294117646</v>
      </c>
      <c r="H45" s="6" t="s">
        <v>134</v>
      </c>
      <c r="I45" s="2"/>
      <c r="J45" s="2"/>
    </row>
    <row r="46" spans="1:10">
      <c r="A46" s="3">
        <v>45</v>
      </c>
      <c r="B46" s="2" t="s">
        <v>39</v>
      </c>
      <c r="C46" s="3">
        <v>10001</v>
      </c>
      <c r="D46" s="4">
        <f t="shared" ref="D46:D51" si="6">E46/12</f>
        <v>12456.25</v>
      </c>
      <c r="E46" s="4">
        <f t="shared" ref="E46:E51" si="7">F46*G46</f>
        <v>149475</v>
      </c>
      <c r="F46" s="8">
        <v>1993</v>
      </c>
      <c r="G46" s="4">
        <v>75</v>
      </c>
      <c r="H46" s="6" t="s">
        <v>135</v>
      </c>
      <c r="I46" s="2"/>
      <c r="J46" s="2"/>
    </row>
    <row r="47" spans="1:10">
      <c r="A47" s="3">
        <v>46</v>
      </c>
      <c r="B47" s="2" t="s">
        <v>39</v>
      </c>
      <c r="C47" s="3">
        <v>10001</v>
      </c>
      <c r="D47" s="4">
        <f t="shared" si="6"/>
        <v>30625</v>
      </c>
      <c r="E47" s="4">
        <f t="shared" si="7"/>
        <v>367500</v>
      </c>
      <c r="F47" s="8">
        <v>7500</v>
      </c>
      <c r="G47" s="4">
        <v>49</v>
      </c>
      <c r="H47" s="6" t="s">
        <v>136</v>
      </c>
      <c r="I47" s="2"/>
      <c r="J47" s="2"/>
    </row>
    <row r="48" spans="1:10">
      <c r="A48" s="3">
        <v>47</v>
      </c>
      <c r="B48" s="2" t="s">
        <v>39</v>
      </c>
      <c r="C48" s="3">
        <v>10001</v>
      </c>
      <c r="D48" s="4">
        <f t="shared" si="6"/>
        <v>4577.416666666667</v>
      </c>
      <c r="E48" s="4">
        <f t="shared" si="7"/>
        <v>54929</v>
      </c>
      <c r="F48" s="8">
        <v>1121</v>
      </c>
      <c r="G48" s="4">
        <v>49</v>
      </c>
      <c r="H48" s="10" t="s">
        <v>136</v>
      </c>
      <c r="I48" s="2"/>
      <c r="J48" s="2"/>
    </row>
    <row r="49" spans="1:10">
      <c r="A49" s="3">
        <v>48</v>
      </c>
      <c r="B49" s="2" t="s">
        <v>43</v>
      </c>
      <c r="C49" s="3">
        <v>10010</v>
      </c>
      <c r="D49" s="4">
        <f t="shared" si="6"/>
        <v>23876.666666666668</v>
      </c>
      <c r="E49" s="4">
        <f t="shared" si="7"/>
        <v>286520</v>
      </c>
      <c r="F49" s="8">
        <v>2204</v>
      </c>
      <c r="G49" s="4">
        <v>130</v>
      </c>
      <c r="H49" s="6" t="s">
        <v>137</v>
      </c>
      <c r="I49" s="2"/>
      <c r="J49" s="2"/>
    </row>
    <row r="50" spans="1:10">
      <c r="A50" s="3">
        <v>49</v>
      </c>
      <c r="B50" s="2" t="s">
        <v>43</v>
      </c>
      <c r="C50" s="3">
        <v>10010</v>
      </c>
      <c r="D50" s="4">
        <f t="shared" si="6"/>
        <v>29368.5</v>
      </c>
      <c r="E50" s="4">
        <f t="shared" si="7"/>
        <v>352422</v>
      </c>
      <c r="F50" s="8">
        <v>5594</v>
      </c>
      <c r="G50" s="4">
        <v>63</v>
      </c>
      <c r="H50" s="6" t="s">
        <v>138</v>
      </c>
      <c r="I50" s="2"/>
      <c r="J50" s="2"/>
    </row>
    <row r="51" spans="1:10">
      <c r="A51" s="3">
        <v>50</v>
      </c>
      <c r="B51" s="2" t="s">
        <v>43</v>
      </c>
      <c r="C51" s="3">
        <v>10010</v>
      </c>
      <c r="D51" s="4">
        <f t="shared" si="6"/>
        <v>3083.3333333333335</v>
      </c>
      <c r="E51" s="4">
        <f t="shared" si="7"/>
        <v>37000</v>
      </c>
      <c r="F51" s="8">
        <v>2960</v>
      </c>
      <c r="G51" s="4">
        <v>12.5</v>
      </c>
      <c r="H51" s="6" t="s">
        <v>139</v>
      </c>
      <c r="I51" s="2"/>
      <c r="J51" s="2"/>
    </row>
    <row r="52" spans="1:10">
      <c r="A52" s="3">
        <v>51</v>
      </c>
      <c r="B52" s="2" t="s">
        <v>55</v>
      </c>
      <c r="C52" s="3">
        <v>10024</v>
      </c>
      <c r="D52" s="4">
        <v>26620</v>
      </c>
      <c r="E52" s="4">
        <f>D52*12</f>
        <v>319440</v>
      </c>
      <c r="F52" s="8">
        <v>1936</v>
      </c>
      <c r="G52" s="4">
        <f>E52/F52</f>
        <v>165</v>
      </c>
      <c r="H52" s="6" t="s">
        <v>140</v>
      </c>
      <c r="I52" s="2"/>
      <c r="J52" s="2"/>
    </row>
    <row r="53" spans="1:10">
      <c r="A53" s="3">
        <v>52</v>
      </c>
      <c r="B53" s="2" t="s">
        <v>55</v>
      </c>
      <c r="C53" s="3">
        <v>10024</v>
      </c>
      <c r="D53" s="4">
        <f t="shared" ref="D53:D54" si="8">E53/12</f>
        <v>21740</v>
      </c>
      <c r="E53" s="4">
        <f>G53*F53</f>
        <v>260880</v>
      </c>
      <c r="F53" s="8">
        <v>3261</v>
      </c>
      <c r="G53" s="4">
        <v>80</v>
      </c>
      <c r="H53" s="6" t="s">
        <v>141</v>
      </c>
      <c r="I53" s="2"/>
      <c r="J53" s="2"/>
    </row>
    <row r="54" spans="1:10">
      <c r="A54" s="3">
        <v>53</v>
      </c>
      <c r="B54" s="2" t="s">
        <v>55</v>
      </c>
      <c r="C54" s="3">
        <v>10024</v>
      </c>
      <c r="D54" s="4">
        <f t="shared" si="8"/>
        <v>7395</v>
      </c>
      <c r="E54" s="4">
        <f>F54*G54</f>
        <v>88740</v>
      </c>
      <c r="F54" s="8">
        <v>1044</v>
      </c>
      <c r="G54" s="4">
        <v>85</v>
      </c>
      <c r="H54" s="6" t="s">
        <v>142</v>
      </c>
      <c r="I54" s="2"/>
      <c r="J54" s="2"/>
    </row>
    <row r="55" spans="1:10">
      <c r="A55" s="3">
        <v>54</v>
      </c>
      <c r="B55" s="2" t="s">
        <v>59</v>
      </c>
      <c r="C55" s="3">
        <v>10028</v>
      </c>
      <c r="D55" s="4">
        <v>7250</v>
      </c>
      <c r="E55" s="4">
        <f t="shared" ref="E55:E57" si="9">D55*12</f>
        <v>87000</v>
      </c>
      <c r="F55" s="3">
        <v>620</v>
      </c>
      <c r="G55" s="4">
        <f t="shared" ref="G55:G57" si="10">E55/F55</f>
        <v>140.32258064516128</v>
      </c>
      <c r="H55" s="6" t="s">
        <v>142</v>
      </c>
      <c r="I55" s="2"/>
      <c r="J55" s="2"/>
    </row>
    <row r="56" spans="1:10">
      <c r="A56" s="3">
        <v>55</v>
      </c>
      <c r="B56" s="2" t="s">
        <v>59</v>
      </c>
      <c r="C56" s="3">
        <v>10021</v>
      </c>
      <c r="D56" s="4">
        <v>25000</v>
      </c>
      <c r="E56" s="4">
        <f t="shared" si="9"/>
        <v>300000</v>
      </c>
      <c r="F56" s="8">
        <v>10090</v>
      </c>
      <c r="G56" s="4">
        <f t="shared" si="10"/>
        <v>29.732408325074331</v>
      </c>
      <c r="H56" s="6" t="s">
        <v>143</v>
      </c>
      <c r="I56" s="2"/>
      <c r="J56" s="2"/>
    </row>
    <row r="57" spans="1:10">
      <c r="A57" s="3">
        <v>56</v>
      </c>
      <c r="B57" s="2" t="s">
        <v>59</v>
      </c>
      <c r="C57" s="3">
        <v>10021</v>
      </c>
      <c r="D57" s="4">
        <v>21500</v>
      </c>
      <c r="E57" s="4">
        <f t="shared" si="9"/>
        <v>258000</v>
      </c>
      <c r="F57" s="3">
        <v>675</v>
      </c>
      <c r="G57" s="4">
        <f t="shared" si="10"/>
        <v>382.22222222222223</v>
      </c>
      <c r="H57" s="11" t="s">
        <v>144</v>
      </c>
      <c r="I57" s="2"/>
      <c r="J57" s="2"/>
    </row>
    <row r="58" spans="1:10">
      <c r="A58" s="3">
        <v>57</v>
      </c>
      <c r="B58" s="2" t="s">
        <v>63</v>
      </c>
      <c r="C58" s="3">
        <v>10027</v>
      </c>
      <c r="D58" s="4">
        <f t="shared" ref="D58:D59" si="11">E58/12</f>
        <v>17152.5</v>
      </c>
      <c r="E58" s="4">
        <f>F58*G58</f>
        <v>205830</v>
      </c>
      <c r="F58" s="8">
        <v>2287</v>
      </c>
      <c r="G58" s="4">
        <v>90</v>
      </c>
      <c r="H58" s="6" t="s">
        <v>145</v>
      </c>
      <c r="I58" s="2"/>
      <c r="J58" s="2"/>
    </row>
    <row r="59" spans="1:10">
      <c r="A59" s="3">
        <v>58</v>
      </c>
      <c r="B59" s="2" t="s">
        <v>63</v>
      </c>
      <c r="C59" s="3">
        <v>10027</v>
      </c>
      <c r="D59" s="4">
        <f t="shared" si="11"/>
        <v>17116.666666666668</v>
      </c>
      <c r="E59" s="4">
        <f>G59*F59</f>
        <v>205400</v>
      </c>
      <c r="F59" s="8">
        <v>2600</v>
      </c>
      <c r="G59" s="4">
        <v>79</v>
      </c>
      <c r="H59" s="6" t="s">
        <v>145</v>
      </c>
      <c r="I59" s="2"/>
      <c r="J59" s="2"/>
    </row>
    <row r="60" spans="1:10">
      <c r="A60" s="3">
        <v>59</v>
      </c>
      <c r="B60" s="2" t="s">
        <v>63</v>
      </c>
      <c r="C60" s="3">
        <v>10027</v>
      </c>
      <c r="D60" s="4">
        <v>3550</v>
      </c>
      <c r="E60" s="4">
        <f>D60*12</f>
        <v>42600</v>
      </c>
      <c r="F60" s="3">
        <v>709</v>
      </c>
      <c r="G60" s="4">
        <f>E60/F60</f>
        <v>60.084626234132578</v>
      </c>
      <c r="H60" s="6" t="s">
        <v>146</v>
      </c>
      <c r="I60" s="2"/>
      <c r="J60" s="2"/>
    </row>
    <row r="61" spans="1:10">
      <c r="A61" s="3">
        <v>60</v>
      </c>
      <c r="B61" s="2" t="s">
        <v>67</v>
      </c>
      <c r="C61" s="3">
        <v>10026</v>
      </c>
      <c r="D61" s="4">
        <f t="shared" ref="D61:D67" si="12">E61/12</f>
        <v>5000</v>
      </c>
      <c r="E61" s="4">
        <f>F61*G61</f>
        <v>60000</v>
      </c>
      <c r="F61" s="8">
        <v>1200</v>
      </c>
      <c r="G61" s="4">
        <v>50</v>
      </c>
      <c r="H61" s="6" t="s">
        <v>146</v>
      </c>
      <c r="I61" s="2"/>
      <c r="J61" s="2"/>
    </row>
    <row r="62" spans="1:10">
      <c r="A62" s="3">
        <v>61</v>
      </c>
      <c r="B62" s="2" t="s">
        <v>67</v>
      </c>
      <c r="C62" s="3">
        <v>10026</v>
      </c>
      <c r="D62" s="4">
        <f t="shared" si="12"/>
        <v>13875</v>
      </c>
      <c r="E62" s="4">
        <f t="shared" ref="E62:E63" si="13">G62*F62</f>
        <v>166500</v>
      </c>
      <c r="F62" s="8">
        <v>1850</v>
      </c>
      <c r="G62" s="4">
        <v>90</v>
      </c>
      <c r="H62" s="6" t="s">
        <v>147</v>
      </c>
      <c r="I62" s="2"/>
      <c r="J62" s="2"/>
    </row>
    <row r="63" spans="1:10">
      <c r="A63" s="3">
        <v>62</v>
      </c>
      <c r="B63" s="2" t="s">
        <v>71</v>
      </c>
      <c r="C63" s="3">
        <v>10029</v>
      </c>
      <c r="D63" s="4">
        <f t="shared" si="12"/>
        <v>6975</v>
      </c>
      <c r="E63" s="4">
        <f t="shared" si="13"/>
        <v>83700</v>
      </c>
      <c r="F63" s="8">
        <v>1550</v>
      </c>
      <c r="G63" s="4">
        <v>54</v>
      </c>
      <c r="H63" s="6" t="s">
        <v>148</v>
      </c>
      <c r="I63" s="2"/>
      <c r="J63" s="2"/>
    </row>
    <row r="64" spans="1:10">
      <c r="A64" s="3">
        <v>63</v>
      </c>
      <c r="B64" s="2" t="s">
        <v>71</v>
      </c>
      <c r="C64" s="3">
        <v>10029</v>
      </c>
      <c r="D64" s="4">
        <f t="shared" si="12"/>
        <v>26950</v>
      </c>
      <c r="E64" s="4">
        <f t="shared" ref="E64:E65" si="14">F64*G64</f>
        <v>323400</v>
      </c>
      <c r="F64" s="3">
        <v>550</v>
      </c>
      <c r="G64" s="4">
        <v>588</v>
      </c>
      <c r="H64" s="11" t="s">
        <v>149</v>
      </c>
      <c r="I64" s="2"/>
      <c r="J64" s="2"/>
    </row>
    <row r="65" spans="1:10">
      <c r="A65" s="3">
        <v>64</v>
      </c>
      <c r="B65" s="2" t="s">
        <v>71</v>
      </c>
      <c r="C65" s="3">
        <v>10029</v>
      </c>
      <c r="D65" s="4">
        <f t="shared" si="12"/>
        <v>12000</v>
      </c>
      <c r="E65" s="4">
        <f t="shared" si="14"/>
        <v>144000</v>
      </c>
      <c r="F65" s="8">
        <v>1800</v>
      </c>
      <c r="G65" s="4">
        <v>80</v>
      </c>
      <c r="H65" s="10" t="s">
        <v>150</v>
      </c>
      <c r="I65" s="2"/>
      <c r="J65" s="2"/>
    </row>
    <row r="66" spans="1:10">
      <c r="A66" s="3">
        <v>65</v>
      </c>
      <c r="B66" s="2" t="s">
        <v>75</v>
      </c>
      <c r="C66" s="3">
        <v>10031</v>
      </c>
      <c r="D66" s="4">
        <f t="shared" si="12"/>
        <v>3545</v>
      </c>
      <c r="E66" s="4">
        <f>G66*F66</f>
        <v>42540</v>
      </c>
      <c r="F66" s="3">
        <v>709</v>
      </c>
      <c r="G66" s="4">
        <v>60</v>
      </c>
      <c r="H66" s="10" t="s">
        <v>151</v>
      </c>
      <c r="I66" s="2"/>
      <c r="J66" s="2"/>
    </row>
    <row r="67" spans="1:10">
      <c r="A67" s="3">
        <v>66</v>
      </c>
      <c r="B67" s="2" t="s">
        <v>75</v>
      </c>
      <c r="C67" s="3">
        <v>10031</v>
      </c>
      <c r="D67" s="4">
        <f t="shared" si="12"/>
        <v>6900</v>
      </c>
      <c r="E67" s="4">
        <f>F67*G67</f>
        <v>82800</v>
      </c>
      <c r="F67" s="8">
        <v>1800</v>
      </c>
      <c r="G67" s="4">
        <v>46</v>
      </c>
      <c r="H67" s="6" t="s">
        <v>152</v>
      </c>
      <c r="I67" s="2"/>
      <c r="J67" s="2"/>
    </row>
    <row r="68" spans="1:10">
      <c r="A68" s="3">
        <v>67</v>
      </c>
      <c r="B68" s="2" t="s">
        <v>75</v>
      </c>
      <c r="C68" s="3">
        <v>10031</v>
      </c>
      <c r="D68" s="4">
        <v>3550</v>
      </c>
      <c r="E68" s="4">
        <f>D68*12</f>
        <v>42600</v>
      </c>
      <c r="F68" s="3">
        <v>709</v>
      </c>
      <c r="G68" s="4">
        <f>E68/F68</f>
        <v>60.084626234132578</v>
      </c>
      <c r="H68" s="6" t="s">
        <v>153</v>
      </c>
      <c r="I68" s="2"/>
      <c r="J68" s="2"/>
    </row>
    <row r="69" spans="1:10">
      <c r="A69" s="3">
        <v>68</v>
      </c>
      <c r="B69" s="2" t="s">
        <v>79</v>
      </c>
      <c r="C69" s="3">
        <v>10032</v>
      </c>
      <c r="D69" s="4">
        <f>E69/12</f>
        <v>47283.166666666664</v>
      </c>
      <c r="E69" s="4">
        <f>F69*G69</f>
        <v>567398</v>
      </c>
      <c r="F69" s="8">
        <v>4082</v>
      </c>
      <c r="G69" s="4">
        <v>139</v>
      </c>
      <c r="H69" s="6" t="s">
        <v>154</v>
      </c>
      <c r="I69" s="2"/>
      <c r="J69" s="2"/>
    </row>
    <row r="70" spans="1:10">
      <c r="A70" s="3">
        <v>69</v>
      </c>
      <c r="B70" s="2" t="s">
        <v>79</v>
      </c>
      <c r="C70" s="3">
        <v>10032</v>
      </c>
      <c r="D70" s="4">
        <v>13750</v>
      </c>
      <c r="E70" s="4">
        <f t="shared" ref="E70:E72" si="15">D70*12</f>
        <v>165000</v>
      </c>
      <c r="F70" s="8">
        <v>1150</v>
      </c>
      <c r="G70" s="4">
        <f t="shared" ref="G70:G72" si="16">E70/F70</f>
        <v>143.47826086956522</v>
      </c>
      <c r="H70" s="6" t="s">
        <v>155</v>
      </c>
      <c r="I70" s="2"/>
      <c r="J70" s="2"/>
    </row>
    <row r="71" spans="1:10">
      <c r="A71" s="3">
        <v>70</v>
      </c>
      <c r="B71" s="2" t="s">
        <v>79</v>
      </c>
      <c r="C71" s="3">
        <v>10032</v>
      </c>
      <c r="D71" s="4">
        <v>11500</v>
      </c>
      <c r="E71" s="4">
        <f t="shared" si="15"/>
        <v>138000</v>
      </c>
      <c r="F71" s="8">
        <v>2225</v>
      </c>
      <c r="G71" s="4">
        <f t="shared" si="16"/>
        <v>62.022471910112358</v>
      </c>
      <c r="H71" s="6" t="s">
        <v>156</v>
      </c>
      <c r="I71" s="2"/>
      <c r="J71" s="2"/>
    </row>
    <row r="72" spans="1:10">
      <c r="A72" s="3">
        <v>71</v>
      </c>
      <c r="B72" s="2" t="s">
        <v>79</v>
      </c>
      <c r="C72" s="3">
        <v>10032</v>
      </c>
      <c r="D72" s="4">
        <v>18000</v>
      </c>
      <c r="E72" s="4">
        <f t="shared" si="15"/>
        <v>216000</v>
      </c>
      <c r="F72" s="8">
        <v>1421</v>
      </c>
      <c r="G72" s="4">
        <f t="shared" si="16"/>
        <v>152.00562983814214</v>
      </c>
      <c r="H72" s="6" t="s">
        <v>157</v>
      </c>
      <c r="I72" s="2"/>
      <c r="J72" s="2"/>
    </row>
    <row r="73" spans="1:10">
      <c r="A73" s="3">
        <v>72</v>
      </c>
      <c r="B73" s="2" t="s">
        <v>83</v>
      </c>
      <c r="C73" s="3">
        <v>10034</v>
      </c>
      <c r="D73" s="4">
        <f>E73/12</f>
        <v>4946.166666666667</v>
      </c>
      <c r="E73" s="4">
        <f>G73*F73</f>
        <v>59354</v>
      </c>
      <c r="F73" s="8">
        <v>1006</v>
      </c>
      <c r="G73" s="4">
        <v>59</v>
      </c>
      <c r="H73" s="6" t="s">
        <v>158</v>
      </c>
      <c r="I73" s="2"/>
      <c r="J73" s="2"/>
    </row>
    <row r="74" spans="1:10">
      <c r="A74" s="3">
        <v>73</v>
      </c>
      <c r="B74" s="2" t="s">
        <v>83</v>
      </c>
      <c r="C74" s="3">
        <v>10040</v>
      </c>
      <c r="D74" s="4">
        <v>3700</v>
      </c>
      <c r="E74" s="4">
        <f t="shared" ref="E74:E75" si="17">D74*12</f>
        <v>44400</v>
      </c>
      <c r="F74" s="8">
        <v>1000</v>
      </c>
      <c r="G74" s="4">
        <f>E74/F74</f>
        <v>44.4</v>
      </c>
      <c r="H74" s="6" t="s">
        <v>159</v>
      </c>
      <c r="I74" s="2"/>
      <c r="J74" s="2"/>
    </row>
    <row r="75" spans="1:10">
      <c r="A75" s="3">
        <v>74</v>
      </c>
      <c r="B75" s="2" t="s">
        <v>83</v>
      </c>
      <c r="C75" s="3">
        <v>10040</v>
      </c>
      <c r="D75" s="4">
        <v>3700</v>
      </c>
      <c r="E75" s="4">
        <f t="shared" si="17"/>
        <v>44400</v>
      </c>
      <c r="F75" s="8">
        <v>1000</v>
      </c>
      <c r="G75" s="4">
        <f>E74/F74</f>
        <v>44.4</v>
      </c>
      <c r="H75" s="6" t="s">
        <v>159</v>
      </c>
      <c r="I75" s="2"/>
      <c r="J75" s="2"/>
    </row>
    <row r="76" spans="1:10">
      <c r="A76" s="3">
        <v>75</v>
      </c>
      <c r="B76" s="2" t="s">
        <v>47</v>
      </c>
      <c r="C76" s="2">
        <v>10019</v>
      </c>
      <c r="D76" s="12">
        <f t="shared" ref="D76:D81" si="18">E76/12</f>
        <v>15000</v>
      </c>
      <c r="E76" s="12">
        <f t="shared" ref="E76:E78" si="19">F76*G76</f>
        <v>180000</v>
      </c>
      <c r="F76" s="8">
        <v>1000</v>
      </c>
      <c r="G76" s="4">
        <v>180</v>
      </c>
      <c r="H76" s="13" t="s">
        <v>100</v>
      </c>
    </row>
    <row r="77" spans="1:10">
      <c r="A77" s="3">
        <v>76</v>
      </c>
      <c r="B77" s="2" t="s">
        <v>47</v>
      </c>
      <c r="C77" s="2">
        <v>10019</v>
      </c>
      <c r="D77" s="12">
        <f t="shared" si="18"/>
        <v>35833.333333333336</v>
      </c>
      <c r="E77" s="12">
        <f t="shared" si="19"/>
        <v>430000</v>
      </c>
      <c r="F77" s="8">
        <v>5000</v>
      </c>
      <c r="G77" s="4">
        <v>86</v>
      </c>
      <c r="H77" s="14" t="s">
        <v>101</v>
      </c>
    </row>
    <row r="78" spans="1:10">
      <c r="A78" s="3">
        <v>77</v>
      </c>
      <c r="B78" s="2" t="s">
        <v>47</v>
      </c>
      <c r="C78" s="2">
        <v>10019</v>
      </c>
      <c r="D78" s="12">
        <f t="shared" si="18"/>
        <v>24975</v>
      </c>
      <c r="E78" s="12">
        <f t="shared" si="19"/>
        <v>299700</v>
      </c>
      <c r="F78" s="8">
        <v>900</v>
      </c>
      <c r="G78" s="4">
        <v>333</v>
      </c>
      <c r="H78" s="13" t="s">
        <v>101</v>
      </c>
    </row>
    <row r="79" spans="1:10">
      <c r="A79" s="3">
        <v>78</v>
      </c>
      <c r="B79" s="1" t="s">
        <v>51</v>
      </c>
      <c r="C79" s="2">
        <v>10016</v>
      </c>
      <c r="D79" s="12">
        <f t="shared" si="18"/>
        <v>12833.333333333334</v>
      </c>
      <c r="E79" s="12">
        <f>G79*F79</f>
        <v>154000</v>
      </c>
      <c r="F79" s="2">
        <v>550</v>
      </c>
      <c r="G79" s="4">
        <v>280</v>
      </c>
      <c r="H79" s="13" t="s">
        <v>160</v>
      </c>
    </row>
    <row r="80" spans="1:10">
      <c r="A80" s="3">
        <v>79</v>
      </c>
      <c r="B80" s="1" t="s">
        <v>51</v>
      </c>
      <c r="C80" s="2">
        <v>10016</v>
      </c>
      <c r="D80" s="12">
        <f t="shared" si="18"/>
        <v>16000</v>
      </c>
      <c r="E80" s="12">
        <f t="shared" ref="E80:E81" si="20">F80*G80</f>
        <v>192000</v>
      </c>
      <c r="F80" s="15">
        <v>1200</v>
      </c>
      <c r="G80" s="4">
        <v>160</v>
      </c>
      <c r="H80" s="13" t="s">
        <v>161</v>
      </c>
    </row>
    <row r="81" spans="1:8">
      <c r="A81" s="3">
        <v>80</v>
      </c>
      <c r="B81" s="1" t="s">
        <v>51</v>
      </c>
      <c r="C81" s="2">
        <v>10016</v>
      </c>
      <c r="D81" s="12">
        <f t="shared" si="18"/>
        <v>27083.333333333332</v>
      </c>
      <c r="E81" s="12">
        <f t="shared" si="20"/>
        <v>325000</v>
      </c>
      <c r="F81" s="15">
        <v>2500</v>
      </c>
      <c r="G81" s="4">
        <v>130</v>
      </c>
      <c r="H81" s="13" t="s">
        <v>162</v>
      </c>
    </row>
  </sheetData>
  <hyperlinks>
    <hyperlink ref="H2" r:id="rId1" xr:uid="{00000000-0004-0000-0100-000000000000}"/>
    <hyperlink ref="H3" r:id="rId2" xr:uid="{00000000-0004-0000-0100-000001000000}"/>
    <hyperlink ref="H4" r:id="rId3" xr:uid="{00000000-0004-0000-0100-000002000000}"/>
    <hyperlink ref="H5" r:id="rId4" xr:uid="{00000000-0004-0000-0100-000003000000}"/>
    <hyperlink ref="H6" r:id="rId5" xr:uid="{00000000-0004-0000-0100-000004000000}"/>
    <hyperlink ref="H7" r:id="rId6" xr:uid="{00000000-0004-0000-0100-000005000000}"/>
    <hyperlink ref="H8" r:id="rId7" xr:uid="{00000000-0004-0000-0100-000006000000}"/>
    <hyperlink ref="H9" r:id="rId8" xr:uid="{00000000-0004-0000-0100-000007000000}"/>
    <hyperlink ref="H10" r:id="rId9" xr:uid="{00000000-0004-0000-0100-000008000000}"/>
    <hyperlink ref="H11" r:id="rId10" xr:uid="{00000000-0004-0000-0100-000009000000}"/>
    <hyperlink ref="H12" r:id="rId11" xr:uid="{00000000-0004-0000-0100-00000A000000}"/>
    <hyperlink ref="H13" r:id="rId12" xr:uid="{00000000-0004-0000-0100-00000B000000}"/>
    <hyperlink ref="H14" r:id="rId13" xr:uid="{00000000-0004-0000-0100-00000C000000}"/>
    <hyperlink ref="H15" r:id="rId14" xr:uid="{00000000-0004-0000-0100-00000D000000}"/>
    <hyperlink ref="H16" r:id="rId15" xr:uid="{00000000-0004-0000-0100-00000E000000}"/>
    <hyperlink ref="H17" r:id="rId16" xr:uid="{00000000-0004-0000-0100-00000F000000}"/>
    <hyperlink ref="H18" r:id="rId17" xr:uid="{00000000-0004-0000-0100-000010000000}"/>
    <hyperlink ref="H19" r:id="rId18" xr:uid="{00000000-0004-0000-0100-000011000000}"/>
    <hyperlink ref="H20" r:id="rId19" xr:uid="{00000000-0004-0000-0100-000012000000}"/>
    <hyperlink ref="H21" r:id="rId20" xr:uid="{00000000-0004-0000-0100-000013000000}"/>
    <hyperlink ref="H22" r:id="rId21" xr:uid="{00000000-0004-0000-0100-000014000000}"/>
    <hyperlink ref="H23" r:id="rId22" xr:uid="{00000000-0004-0000-0100-000015000000}"/>
    <hyperlink ref="H24" r:id="rId23" xr:uid="{00000000-0004-0000-0100-000016000000}"/>
    <hyperlink ref="H25" r:id="rId24" xr:uid="{00000000-0004-0000-0100-000017000000}"/>
    <hyperlink ref="H26" r:id="rId25" xr:uid="{00000000-0004-0000-0100-000018000000}"/>
    <hyperlink ref="H27" r:id="rId26" xr:uid="{00000000-0004-0000-0100-000019000000}"/>
    <hyperlink ref="H28" r:id="rId27" xr:uid="{00000000-0004-0000-0100-00001A000000}"/>
    <hyperlink ref="H29" r:id="rId28" xr:uid="{00000000-0004-0000-0100-00001B000000}"/>
    <hyperlink ref="H30" r:id="rId29" xr:uid="{00000000-0004-0000-0100-00001C000000}"/>
    <hyperlink ref="H31" r:id="rId30" xr:uid="{00000000-0004-0000-0100-00001D000000}"/>
    <hyperlink ref="H32" r:id="rId31" xr:uid="{00000000-0004-0000-0100-00001E000000}"/>
    <hyperlink ref="H33" r:id="rId32" xr:uid="{00000000-0004-0000-0100-00001F000000}"/>
    <hyperlink ref="H34" r:id="rId33" xr:uid="{00000000-0004-0000-0100-000020000000}"/>
    <hyperlink ref="H35" r:id="rId34" xr:uid="{00000000-0004-0000-0100-000021000000}"/>
    <hyperlink ref="H36" r:id="rId35" xr:uid="{00000000-0004-0000-0100-000022000000}"/>
    <hyperlink ref="H37" r:id="rId36" xr:uid="{00000000-0004-0000-0100-000023000000}"/>
    <hyperlink ref="H38" r:id="rId37" xr:uid="{00000000-0004-0000-0100-000024000000}"/>
    <hyperlink ref="H39" r:id="rId38" xr:uid="{00000000-0004-0000-0100-000025000000}"/>
    <hyperlink ref="H40" r:id="rId39" xr:uid="{00000000-0004-0000-0100-000026000000}"/>
    <hyperlink ref="H41" r:id="rId40" xr:uid="{00000000-0004-0000-0100-000027000000}"/>
    <hyperlink ref="H42" r:id="rId41" xr:uid="{00000000-0004-0000-0100-000028000000}"/>
    <hyperlink ref="H43" r:id="rId42" xr:uid="{00000000-0004-0000-0100-000029000000}"/>
    <hyperlink ref="H44" r:id="rId43" xr:uid="{00000000-0004-0000-0100-00002A000000}"/>
    <hyperlink ref="H45" r:id="rId44" xr:uid="{00000000-0004-0000-0100-00002B000000}"/>
    <hyperlink ref="H46" r:id="rId45" xr:uid="{00000000-0004-0000-0100-00002C000000}"/>
    <hyperlink ref="H47" r:id="rId46" xr:uid="{00000000-0004-0000-0100-00002D000000}"/>
    <hyperlink ref="H48" r:id="rId47" xr:uid="{00000000-0004-0000-0100-00002E000000}"/>
    <hyperlink ref="H49" r:id="rId48" xr:uid="{00000000-0004-0000-0100-00002F000000}"/>
    <hyperlink ref="H50" r:id="rId49" xr:uid="{00000000-0004-0000-0100-000030000000}"/>
    <hyperlink ref="H51" r:id="rId50" xr:uid="{00000000-0004-0000-0100-000031000000}"/>
    <hyperlink ref="H52" r:id="rId51" xr:uid="{00000000-0004-0000-0100-000032000000}"/>
    <hyperlink ref="H53" r:id="rId52" xr:uid="{00000000-0004-0000-0100-000033000000}"/>
    <hyperlink ref="H54" r:id="rId53" xr:uid="{00000000-0004-0000-0100-000034000000}"/>
    <hyperlink ref="H55" r:id="rId54" xr:uid="{00000000-0004-0000-0100-000035000000}"/>
    <hyperlink ref="H56" r:id="rId55" xr:uid="{00000000-0004-0000-0100-000036000000}"/>
    <hyperlink ref="H57" r:id="rId56" xr:uid="{00000000-0004-0000-0100-000037000000}"/>
    <hyperlink ref="H58" r:id="rId57" xr:uid="{00000000-0004-0000-0100-000038000000}"/>
    <hyperlink ref="H59" r:id="rId58" xr:uid="{00000000-0004-0000-0100-000039000000}"/>
    <hyperlink ref="H60" r:id="rId59" xr:uid="{00000000-0004-0000-0100-00003A000000}"/>
    <hyperlink ref="H61" r:id="rId60" xr:uid="{00000000-0004-0000-0100-00003B000000}"/>
    <hyperlink ref="H62" r:id="rId61" xr:uid="{00000000-0004-0000-0100-00003C000000}"/>
    <hyperlink ref="H63" r:id="rId62" xr:uid="{00000000-0004-0000-0100-00003D000000}"/>
    <hyperlink ref="H64" r:id="rId63" xr:uid="{00000000-0004-0000-0100-00003E000000}"/>
    <hyperlink ref="H65" r:id="rId64" xr:uid="{00000000-0004-0000-0100-00003F000000}"/>
    <hyperlink ref="H66" r:id="rId65" xr:uid="{00000000-0004-0000-0100-000040000000}"/>
    <hyperlink ref="H67" r:id="rId66" xr:uid="{00000000-0004-0000-0100-000041000000}"/>
    <hyperlink ref="H68" r:id="rId67" xr:uid="{00000000-0004-0000-0100-000042000000}"/>
    <hyperlink ref="H69" r:id="rId68" xr:uid="{00000000-0004-0000-0100-000043000000}"/>
    <hyperlink ref="H70" r:id="rId69" xr:uid="{00000000-0004-0000-0100-000044000000}"/>
    <hyperlink ref="H71" r:id="rId70" xr:uid="{00000000-0004-0000-0100-000045000000}"/>
    <hyperlink ref="H72" r:id="rId71" xr:uid="{00000000-0004-0000-0100-000046000000}"/>
    <hyperlink ref="H73" r:id="rId72" xr:uid="{00000000-0004-0000-0100-000047000000}"/>
    <hyperlink ref="H74" r:id="rId73" xr:uid="{00000000-0004-0000-0100-000048000000}"/>
    <hyperlink ref="H75" r:id="rId74" xr:uid="{00000000-0004-0000-0100-000049000000}"/>
    <hyperlink ref="H76" r:id="rId75" xr:uid="{00000000-0004-0000-0100-00004A000000}"/>
    <hyperlink ref="H77" r:id="rId76" xr:uid="{00000000-0004-0000-0100-00004B000000}"/>
    <hyperlink ref="H78" r:id="rId77" xr:uid="{00000000-0004-0000-0100-00004C000000}"/>
    <hyperlink ref="H79" r:id="rId78" xr:uid="{00000000-0004-0000-0100-00004D000000}"/>
    <hyperlink ref="H80" r:id="rId79" xr:uid="{00000000-0004-0000-0100-00004E000000}"/>
    <hyperlink ref="H81" r:id="rId80" xr:uid="{00000000-0004-0000-0100-00004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 Alquiler</vt:lpstr>
      <vt:lpstr>DATOS LEVANTADOS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Silky Feliz Perez</dc:creator>
  <cp:lastModifiedBy>Silky Feliz Perez</cp:lastModifiedBy>
  <dcterms:created xsi:type="dcterms:W3CDTF">2026-01-18T18:29:34Z</dcterms:created>
  <dcterms:modified xsi:type="dcterms:W3CDTF">2026-02-15T20:24:04Z</dcterms:modified>
</cp:coreProperties>
</file>